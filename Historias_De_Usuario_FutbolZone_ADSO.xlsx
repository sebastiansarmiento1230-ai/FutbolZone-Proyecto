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 Ejecutivo" sheetId="1" state="visible" r:id="rId1"/>
    <sheet name="👤 Historias CLIENTE" sheetId="2" state="visible" r:id="rId2"/>
    <sheet name="👑 Historias ADMIN" sheetId="3" state="visible" r:id="rId3"/>
    <sheet name="📋 Backlog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color rgb="00E2E8F0"/>
      <sz val="10"/>
    </font>
    <font>
      <name val="Segoe UI"/>
      <b val="1"/>
      <color rgb="00059669"/>
      <sz val="20"/>
    </font>
    <font>
      <name val="Segoe UI"/>
      <b val="1"/>
      <color rgb="00475569"/>
      <sz val="8.5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166534"/>
      <sz val="10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b val="1"/>
      <color rgb="000284C7"/>
      <sz val="9"/>
    </font>
    <font>
      <name val="Segoe UI"/>
      <b val="1"/>
      <color rgb="007C3AED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FEF3C7"/>
        <bgColor rgb="00FEF3C7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5" borderId="2" pivotButton="0" quotePrefix="0" xfId="0"/>
    <xf numFmtId="0" fontId="7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7" fillId="4" borderId="2" pivotButton="0" quotePrefix="0" xfId="0"/>
    <xf numFmtId="0" fontId="3" fillId="4" borderId="2" pivotButton="0" quotePrefix="0" xfId="0"/>
    <xf numFmtId="164" fontId="3" fillId="4" borderId="2" pivotButton="0" quotePrefix="0" xfId="0"/>
    <xf numFmtId="0" fontId="6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48" customWidth="1" min="4" max="4"/>
    <col width="48" customWidth="1" min="5" max="5"/>
    <col width="48" customWidth="1" min="6" max="6"/>
    <col width="19" customWidth="1" min="7" max="7"/>
    <col width="43" customWidth="1" min="8" max="8"/>
  </cols>
  <sheetData>
    <row r="1"/>
    <row r="2">
      <c r="B2" s="1" t="inlineStr">
        <is>
          <t>⚽ FUTBOLZONE — DASHBOARD EJECUTIVO DE AVANCE DEL PROYECTO</t>
        </is>
      </c>
    </row>
    <row r="3"/>
    <row r="4">
      <c r="B4" s="2" t="inlineStr">
        <is>
          <t>Programa: Análisis y Desarrollo de Software (ADSO) | SENA Trimestre III | Avance Actual: 75% MVP</t>
        </is>
      </c>
    </row>
    <row r="5"/>
    <row r="6">
      <c r="B6" s="3">
        <f>'📋 Backlog General'!C4</f>
        <v/>
      </c>
      <c r="D6" s="3">
        <f>'👤 Historias CLIENTE'!C4</f>
        <v/>
      </c>
      <c r="E6" s="3">
        <f>'👑 Historias ADMIN'!C4</f>
        <v/>
      </c>
      <c r="F6" s="3">
        <f>'📋 Backlog General'!I4</f>
        <v/>
      </c>
      <c r="H6" s="4">
        <f>'📋 Backlog General'!E4</f>
        <v/>
      </c>
    </row>
    <row r="7"/>
    <row r="8">
      <c r="B8" s="5" t="inlineStr">
        <is>
          <t>TOTAL HISTORIAS
(38 HUs Planificadas)</t>
        </is>
      </c>
      <c r="D8" s="5" t="inlineStr">
        <is>
          <t>HU CLIENTE
(20 HUs (75% Listas))</t>
        </is>
      </c>
      <c r="E8" s="5" t="inlineStr">
        <is>
          <t>HU ADMIN
(18 HUs (77% Listas))</t>
        </is>
      </c>
      <c r="F8" s="5" t="inlineStr">
        <is>
          <t>PUNTOS DESARROLLADOS
(Puntos de Historia Listos)</t>
        </is>
      </c>
      <c r="H8" s="6" t="inlineStr">
        <is>
          <t>% AVANCE PROYECTO
(Fase MVP Completada)</t>
        </is>
      </c>
    </row>
    <row r="9"/>
    <row r="10">
      <c r="B10" s="7" t="inlineStr">
        <is>
          <t>📌 ESTADO DE AVANCE POR MÓDULOS DEL SISTEMA</t>
        </is>
      </c>
    </row>
    <row r="11">
      <c r="B11" s="8" t="inlineStr">
        <is>
          <t>Módulo / Área del Sistema</t>
        </is>
      </c>
      <c r="C11" s="8" t="inlineStr">
        <is>
          <t>Rol Destinatario</t>
        </is>
      </c>
      <c r="D11" s="8" t="inlineStr">
        <is>
          <t>Total HUs</t>
        </is>
      </c>
      <c r="E11" s="8" t="inlineStr">
        <is>
          <t>Completadas</t>
        </is>
      </c>
      <c r="F11" s="8" t="inlineStr">
        <is>
          <t>Pendientes</t>
        </is>
      </c>
      <c r="G11" s="8" t="inlineStr">
        <is>
          <t>% Avance Módulo</t>
        </is>
      </c>
      <c r="H11" s="8" t="inlineStr">
        <is>
          <t>Estado Actual</t>
        </is>
      </c>
    </row>
    <row r="12">
      <c r="B12" s="9" t="inlineStr">
        <is>
          <t>Módulo 1: Autenticación, JWT &amp; Gmail SMTP</t>
        </is>
      </c>
      <c r="C12" s="10" t="inlineStr">
        <is>
          <t>Todos</t>
        </is>
      </c>
      <c r="D12" s="10">
        <f>COUNTIF('📋 Backlog General'!E10:E47, "Autenticación") + COUNTIF('📋 Backlog General'!E10:E47, "Seguridad")</f>
        <v/>
      </c>
      <c r="E12" s="10">
        <f>COUNTIFS('📋 Backlog General'!E10:E47, "Autenticación", '📋 Backlog General'!I10:I47, "Completado") + COUNTIFS('📋 Backlog General'!E10:E47, "Seguridad", '📋 Backlog General'!I10:I47, "Completado")</f>
        <v/>
      </c>
      <c r="F12" s="10">
        <f>D12-E12</f>
        <v/>
      </c>
      <c r="G12" s="11">
        <f>E12/D12</f>
        <v/>
      </c>
      <c r="H12" s="12" t="inlineStr">
        <is>
          <t>🟢 100% Funcional</t>
        </is>
      </c>
    </row>
    <row r="13">
      <c r="B13" s="13" t="inlineStr">
        <is>
          <t>Módulo 2: Catálogo de Canchas &amp; Filtros</t>
        </is>
      </c>
      <c r="C13" s="14" t="inlineStr">
        <is>
          <t>Cliente / Admin</t>
        </is>
      </c>
      <c r="D13" s="14">
        <f>COUNTIF('📋 Backlog General'!E10:E47, "Canchas")</f>
        <v/>
      </c>
      <c r="E13" s="14">
        <f>COUNTIFS('📋 Backlog General'!E10:E47, "Canchas", '📋 Backlog General'!I10:I47, "Completado")</f>
        <v/>
      </c>
      <c r="F13" s="14">
        <f>D13-E13</f>
        <v/>
      </c>
      <c r="G13" s="15">
        <f>E13/D13</f>
        <v/>
      </c>
      <c r="H13" s="16" t="inlineStr">
        <is>
          <t>🟢 100% Funcional</t>
        </is>
      </c>
    </row>
    <row r="14">
      <c r="B14" s="9" t="inlineStr">
        <is>
          <t>Módulo 3: Motor de Reservas &amp; Disponibilidad</t>
        </is>
      </c>
      <c r="C14" s="10" t="inlineStr">
        <is>
          <t>Cliente / Admin</t>
        </is>
      </c>
      <c r="D14" s="10">
        <f>COUNTIF('📋 Backlog General'!E10:E47, "Reservas") + COUNTIF('📋 Backlog General'!E10:E47, "Agendamiento")</f>
        <v/>
      </c>
      <c r="E14" s="10">
        <f>COUNTIFS('📋 Backlog General'!E10:E47, "Reservas", '📋 Backlog General'!I10:I47, "Completado") + COUNTIFS('📋 Backlog General'!E10:E47, "Agendamiento", '📋 Backlog General'!I10:I47, "Completado")</f>
        <v/>
      </c>
      <c r="F14" s="10">
        <f>D14-E14</f>
        <v/>
      </c>
      <c r="G14" s="11">
        <f>E14/D14</f>
        <v/>
      </c>
      <c r="H14" s="12" t="inlineStr">
        <is>
          <t>🟢 100% Funcional</t>
        </is>
      </c>
    </row>
    <row r="15">
      <c r="B15" s="13" t="inlineStr">
        <is>
          <t>Módulo 4: Dashboard Admin, Personal &amp; Reportes</t>
        </is>
      </c>
      <c r="C15" s="14" t="inlineStr">
        <is>
          <t>Administrador</t>
        </is>
      </c>
      <c r="D15" s="14">
        <f>COUNTIF('📋 Backlog General'!E10:E47, "Administración") + COUNTIF('📋 Backlog General'!E10:E47, "Personal") + COUNTIF('📋 Backlog General'!E10:E47, "Reportes")</f>
        <v/>
      </c>
      <c r="E15" s="14">
        <f>COUNTIFS('📋 Backlog General'!E10:E47, "Administración", '📋 Backlog General'!I10:I47, "Completado") + COUNTIFS('📋 Backlog General'!E10:E47, "Personal", '📋 Backlog General'!I10:I47, "Completado") + COUNTIFS('📋 Backlog General'!E10:E47, "Reportes", '📋 Backlog General'!I10:I47, "Completado")</f>
        <v/>
      </c>
      <c r="F15" s="14">
        <f>D15-E15</f>
        <v/>
      </c>
      <c r="G15" s="15">
        <f>E15/D15</f>
        <v/>
      </c>
      <c r="H15" s="16" t="inlineStr">
        <is>
          <t>🟢 100% Funcional</t>
        </is>
      </c>
    </row>
    <row r="16">
      <c r="B16" s="9" t="inlineStr">
        <is>
          <t>Módulo 5: UI/UX (Dock 3 Botones, Móvil &amp; Tema)</t>
        </is>
      </c>
      <c r="C16" s="10" t="inlineStr">
        <is>
          <t>Todos</t>
        </is>
      </c>
      <c r="D16" s="10">
        <f>COUNTIF('📋 Backlog General'!E10:E47, "UI / UX")</f>
        <v/>
      </c>
      <c r="E16" s="10">
        <f>COUNTIFS('📋 Backlog General'!E10:E47, "UI / UX", '📋 Backlog General'!I10:I47, "Completado")</f>
        <v/>
      </c>
      <c r="F16" s="10">
        <f>D16-E16</f>
        <v/>
      </c>
      <c r="G16" s="11">
        <f>E16/D16</f>
        <v/>
      </c>
      <c r="H16" s="12" t="inlineStr">
        <is>
          <t>🟢 100% Funcional</t>
        </is>
      </c>
    </row>
    <row r="17">
      <c r="B17" s="13" t="inlineStr">
        <is>
          <t>Módulo 6: Torneos Deportivos</t>
        </is>
      </c>
      <c r="C17" s="14" t="inlineStr">
        <is>
          <t>Cliente / Admin</t>
        </is>
      </c>
      <c r="D17" s="14">
        <f>COUNTIF('📋 Backlog General'!E10:E47, "Torneos")</f>
        <v/>
      </c>
      <c r="E17" s="14">
        <f>COUNTIFS('📋 Backlog General'!E10:E47, "Torneos", '📋 Backlog General'!I10:I47, "Completado")</f>
        <v/>
      </c>
      <c r="F17" s="14">
        <f>D17-E17</f>
        <v/>
      </c>
      <c r="G17" s="15">
        <f>E17/D17</f>
        <v/>
      </c>
      <c r="H17" s="16" t="inlineStr">
        <is>
          <t>🟡 75% Operativo</t>
        </is>
      </c>
    </row>
    <row r="18">
      <c r="B18" s="9" t="inlineStr">
        <is>
          <t>Módulo 7: Pasarela de Pagos &amp; Cloud (Fase Final)</t>
        </is>
      </c>
      <c r="C18" s="10" t="inlineStr">
        <is>
          <t>Todos</t>
        </is>
      </c>
      <c r="D18" s="10">
        <f>COUNTIF('📋 Backlog General'!E10:E47, "Pagos") + COUNTIF('📋 Backlog General'!E10:E47, "Comprobantes") + COUNTIF('📋 Backlog General'!E10:E47, "Notificaciones") + COUNTIF('📋 Backlog General'!E10:E47, "Fidelización") + COUNTIF('📋 Backlog General'!E10:E47, "Integraciones") + COUNTIF('📋 Backlog General'!E10:E47, "DevOps")</f>
        <v/>
      </c>
      <c r="E18" s="10" t="inlineStr">
        <is>
          <t>0</t>
        </is>
      </c>
      <c r="F18" s="10">
        <f>D18</f>
        <v/>
      </c>
      <c r="G18" s="11" t="inlineStr">
        <is>
          <t>0%</t>
        </is>
      </c>
      <c r="H18" s="12" t="inlineStr">
        <is>
          <t>⏳ En Progreso</t>
        </is>
      </c>
    </row>
    <row r="19">
      <c r="B19" s="17" t="inlineStr">
        <is>
          <t>TOTAL CONSOLIDADO DEL SISTEMA</t>
        </is>
      </c>
      <c r="C19" s="18" t="inlineStr">
        <is>
          <t>SISTEMA COMPLETO</t>
        </is>
      </c>
      <c r="D19" s="18">
        <f>SUM(D12:D18)</f>
        <v/>
      </c>
      <c r="E19" s="18">
        <f>SUM(E12:E18)</f>
        <v/>
      </c>
      <c r="F19" s="18">
        <f>SUM(F12:F18)</f>
        <v/>
      </c>
      <c r="G19" s="19">
        <f>E19/D19</f>
        <v/>
      </c>
      <c r="H19" s="20" t="inlineStr">
        <is>
          <t>🎯 75% MVP LISTO</t>
        </is>
      </c>
    </row>
  </sheetData>
  <mergeCells count="13">
    <mergeCell ref="E8"/>
    <mergeCell ref="H8"/>
    <mergeCell ref="B4:H4"/>
    <mergeCell ref="D8"/>
    <mergeCell ref="H6:H7"/>
    <mergeCell ref="B6:C7"/>
    <mergeCell ref="E6:E7"/>
    <mergeCell ref="B2:H3"/>
    <mergeCell ref="F6:G7"/>
    <mergeCell ref="B10:H10"/>
    <mergeCell ref="D6:D7"/>
    <mergeCell ref="B8:C8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8" customWidth="1" min="4" max="4"/>
    <col width="13" customWidth="1" min="5" max="5"/>
    <col width="12" customWidth="1" min="6" max="6"/>
    <col width="12" customWidth="1" min="7" max="7"/>
    <col width="15" customWidth="1" min="8" max="8"/>
    <col width="12" customWidth="1" min="9" max="9"/>
    <col width="48" customWidth="1" min="10" max="10"/>
    <col width="40" customWidth="1" min="11" max="11"/>
    <col width="30" customWidth="1" min="12" max="12"/>
  </cols>
  <sheetData>
    <row r="1"/>
    <row r="2">
      <c r="B2" s="21" t="inlineStr">
        <is>
          <t>👤 HISTORIAS DE USUARIO — MÓDULO CLIENTE &amp; JUGADORES (75% AVANCE)</t>
        </is>
      </c>
    </row>
    <row r="3"/>
    <row r="4">
      <c r="B4" s="22" t="inlineStr">
        <is>
          <t>Total HUs Cliente:</t>
        </is>
      </c>
      <c r="C4" s="23">
        <f>COUNTA(B10:B29)</f>
        <v/>
      </c>
      <c r="D4" s="22" t="inlineStr">
        <is>
          <t>Completadas:</t>
        </is>
      </c>
      <c r="E4" s="23">
        <f>COUNTIF(H10:H29, "Completado")</f>
        <v/>
      </c>
      <c r="F4" s="22" t="inlineStr">
        <is>
          <t>% Avance Cliente:</t>
        </is>
      </c>
      <c r="G4" s="24">
        <f>E4/C4</f>
        <v/>
      </c>
      <c r="H4" s="22" t="inlineStr">
        <is>
          <t>Puntos Totales:</t>
        </is>
      </c>
      <c r="I4" s="23">
        <f>SUM(F10:F29)</f>
        <v/>
      </c>
    </row>
    <row r="5"/>
    <row r="6"/>
    <row r="7"/>
    <row r="8"/>
    <row r="9">
      <c r="B9" s="25" t="inlineStr">
        <is>
          <t>ID</t>
        </is>
      </c>
      <c r="C9" s="25" t="inlineStr">
        <is>
          <t>Título de la Historia</t>
        </is>
      </c>
      <c r="D9" s="25" t="inlineStr">
        <is>
          <t>Módulo</t>
        </is>
      </c>
      <c r="E9" s="25" t="inlineStr">
        <is>
          <t>Prioridad</t>
        </is>
      </c>
      <c r="F9" s="25" t="inlineStr">
        <is>
          <t>Puntos</t>
        </is>
      </c>
      <c r="G9" s="25" t="inlineStr">
        <is>
          <t>Sprint</t>
        </is>
      </c>
      <c r="H9" s="25" t="inlineStr">
        <is>
          <t>Estado</t>
        </is>
      </c>
      <c r="I9" s="25" t="inlineStr">
        <is>
          <t>% Avance</t>
        </is>
      </c>
      <c r="J9" s="25" t="inlineStr">
        <is>
          <t>Descripción (Como / Quiero / Para)</t>
        </is>
      </c>
      <c r="K9" s="25" t="inlineStr">
        <is>
          <t>Endpoint API Backend</t>
        </is>
      </c>
      <c r="L9" s="25" t="inlineStr">
        <is>
          <t>Componente Frontend</t>
        </is>
      </c>
    </row>
    <row r="10">
      <c r="B10" s="12" t="inlineStr">
        <is>
          <t>HU-01</t>
        </is>
      </c>
      <c r="C10" s="26" t="inlineStr">
        <is>
          <t>Registro de Cuenta de Cliente</t>
        </is>
      </c>
      <c r="D10" s="10" t="inlineStr">
        <is>
          <t>Autenticación</t>
        </is>
      </c>
      <c r="E10" s="10" t="inlineStr">
        <is>
          <t>Alta</t>
        </is>
      </c>
      <c r="F10" s="10" t="n">
        <v>5</v>
      </c>
      <c r="G10" s="10" t="inlineStr">
        <is>
          <t>Sprint 1</t>
        </is>
      </c>
      <c r="H10" s="27" t="inlineStr">
        <is>
          <t>Completado</t>
        </is>
      </c>
      <c r="I10" s="12" t="inlineStr">
        <is>
          <t>100%</t>
        </is>
      </c>
      <c r="J10" s="26" t="inlineStr">
        <is>
          <t>Como visitante, quiero registrar mis datos con nombre, correo y clave, para tener una cuenta y reservar canchas.</t>
        </is>
      </c>
      <c r="K10" s="26" t="inlineStr">
        <is>
          <t>POST /api/usuarios/registro</t>
        </is>
      </c>
      <c r="L10" s="26" t="inlineStr">
        <is>
          <t>LoginModal.tsx</t>
        </is>
      </c>
    </row>
    <row r="11">
      <c r="B11" s="16" t="inlineStr">
        <is>
          <t>HU-02</t>
        </is>
      </c>
      <c r="C11" s="28" t="inlineStr">
        <is>
          <t>Inicio de Sesión con JWT</t>
        </is>
      </c>
      <c r="D11" s="14" t="inlineStr">
        <is>
          <t>Seguridad</t>
        </is>
      </c>
      <c r="E11" s="14" t="inlineStr">
        <is>
          <t>Alta</t>
        </is>
      </c>
      <c r="F11" s="14" t="n">
        <v>5</v>
      </c>
      <c r="G11" s="14" t="inlineStr">
        <is>
          <t>Sprint 1</t>
        </is>
      </c>
      <c r="H11" s="27" t="inlineStr">
        <is>
          <t>Completado</t>
        </is>
      </c>
      <c r="I11" s="16" t="inlineStr">
        <is>
          <t>100%</t>
        </is>
      </c>
      <c r="J11" s="28" t="inlineStr">
        <is>
          <t>Como cliente, quiero iniciar sesión con mi correo y contraseña, para acceder a mis reservas y perfil.</t>
        </is>
      </c>
      <c r="K11" s="28" t="inlineStr">
        <is>
          <t>POST /api/usuarios/login</t>
        </is>
      </c>
      <c r="L11" s="28" t="inlineStr">
        <is>
          <t>LoginModal.tsx</t>
        </is>
      </c>
    </row>
    <row r="12">
      <c r="B12" s="12" t="inlineStr">
        <is>
          <t>HU-03</t>
        </is>
      </c>
      <c r="C12" s="26" t="inlineStr">
        <is>
          <t>Recuperación de Contraseña con PIN Gmail</t>
        </is>
      </c>
      <c r="D12" s="10" t="inlineStr">
        <is>
          <t>Seguridad</t>
        </is>
      </c>
      <c r="E12" s="10" t="inlineStr">
        <is>
          <t>Alta</t>
        </is>
      </c>
      <c r="F12" s="10" t="n">
        <v>8</v>
      </c>
      <c r="G12" s="10" t="inlineStr">
        <is>
          <t>Sprint 1</t>
        </is>
      </c>
      <c r="H12" s="27" t="inlineStr">
        <is>
          <t>Completado</t>
        </is>
      </c>
      <c r="I12" s="12" t="inlineStr">
        <is>
          <t>100%</t>
        </is>
      </c>
      <c r="J12" s="26" t="inlineStr">
        <is>
          <t>Como cliente que olvidó su clave, quiero recibir un PIN de 6 dígitos en mi Gmail real, para restablecer mi acceso.</t>
        </is>
      </c>
      <c r="K12" s="26" t="inlineStr">
        <is>
          <t>POST /api/auth/recuperar-password/*</t>
        </is>
      </c>
      <c r="L12" s="26" t="inlineStr">
        <is>
          <t>RecuperarPasswordModal.tsx</t>
        </is>
      </c>
    </row>
    <row r="13">
      <c r="B13" s="16" t="inlineStr">
        <is>
          <t>HU-04</t>
        </is>
      </c>
      <c r="C13" s="28" t="inlineStr">
        <is>
          <t>Exploración del Catálogo de Canchas</t>
        </is>
      </c>
      <c r="D13" s="14" t="inlineStr">
        <is>
          <t>Canchas</t>
        </is>
      </c>
      <c r="E13" s="14" t="inlineStr">
        <is>
          <t>Alta</t>
        </is>
      </c>
      <c r="F13" s="14" t="n">
        <v>3</v>
      </c>
      <c r="G13" s="14" t="inlineStr">
        <is>
          <t>Sprint 2</t>
        </is>
      </c>
      <c r="H13" s="27" t="inlineStr">
        <is>
          <t>Completado</t>
        </is>
      </c>
      <c r="I13" s="16" t="inlineStr">
        <is>
          <t>100%</t>
        </is>
      </c>
      <c r="J13" s="28" t="inlineStr">
        <is>
          <t>Como cliente, quiero ver las canchas con fotos, tipo (F5, F7, F11), precios por hora y capacidad, para elegir mi cancha.</t>
        </is>
      </c>
      <c r="K13" s="28" t="inlineStr">
        <is>
          <t>GET /api/canchas/</t>
        </is>
      </c>
      <c r="L13" s="28" t="inlineStr">
        <is>
          <t>Canchas.tsx</t>
        </is>
      </c>
    </row>
    <row r="14">
      <c r="B14" s="12" t="inlineStr">
        <is>
          <t>HU-05</t>
        </is>
      </c>
      <c r="C14" s="26" t="inlineStr">
        <is>
          <t>Filtrado Rápido por Tipo de Cancha</t>
        </is>
      </c>
      <c r="D14" s="10" t="inlineStr">
        <is>
          <t>Canchas</t>
        </is>
      </c>
      <c r="E14" s="10" t="inlineStr">
        <is>
          <t>Media</t>
        </is>
      </c>
      <c r="F14" s="10" t="n">
        <v>3</v>
      </c>
      <c r="G14" s="10" t="inlineStr">
        <is>
          <t>Sprint 2</t>
        </is>
      </c>
      <c r="H14" s="27" t="inlineStr">
        <is>
          <t>Completado</t>
        </is>
      </c>
      <c r="I14" s="12" t="inlineStr">
        <is>
          <t>100%</t>
        </is>
      </c>
      <c r="J14" s="26" t="inlineStr">
        <is>
          <t>Como cliente, quiero filtrar las canchas por botones píldora (Todas, F5, F7, F11), para encontrar rápido lo que busco.</t>
        </is>
      </c>
      <c r="K14" s="26" t="inlineStr">
        <is>
          <t>GET /api/canchas/?tipo=...</t>
        </is>
      </c>
      <c r="L14" s="26" t="inlineStr">
        <is>
          <t>Canchas.tsx</t>
        </is>
      </c>
    </row>
    <row r="15">
      <c r="B15" s="16" t="inlineStr">
        <is>
          <t>HU-06</t>
        </is>
      </c>
      <c r="C15" s="28" t="inlineStr">
        <is>
          <t>Consulta de Disponibilidad en Tiempo Real</t>
        </is>
      </c>
      <c r="D15" s="14" t="inlineStr">
        <is>
          <t>Agendamiento</t>
        </is>
      </c>
      <c r="E15" s="14" t="inlineStr">
        <is>
          <t>Alta</t>
        </is>
      </c>
      <c r="F15" s="14" t="n">
        <v>5</v>
      </c>
      <c r="G15" s="14" t="inlineStr">
        <is>
          <t>Sprint 2</t>
        </is>
      </c>
      <c r="H15" s="27" t="inlineStr">
        <is>
          <t>Completado</t>
        </is>
      </c>
      <c r="I15" s="16" t="inlineStr">
        <is>
          <t>100%</t>
        </is>
      </c>
      <c r="J15" s="28" t="inlineStr">
        <is>
          <t>Como cliente, quiero seleccionar una fecha en el calendario y ver qué horas están libres vs ocupadas, para planear mi partido.</t>
        </is>
      </c>
      <c r="K15" s="28" t="inlineStr">
        <is>
          <t>GET /api/canchas/{id}/disponibilidad</t>
        </is>
      </c>
      <c r="L15" s="28" t="inlineStr">
        <is>
          <t>ReservaModal.tsx</t>
        </is>
      </c>
    </row>
    <row r="16">
      <c r="B16" s="12" t="inlineStr">
        <is>
          <t>HU-07</t>
        </is>
      </c>
      <c r="C16" s="26" t="inlineStr">
        <is>
          <t>Creación y Agendamiento de Reserva</t>
        </is>
      </c>
      <c r="D16" s="10" t="inlineStr">
        <is>
          <t>Reservas</t>
        </is>
      </c>
      <c r="E16" s="10" t="inlineStr">
        <is>
          <t>Alta</t>
        </is>
      </c>
      <c r="F16" s="10" t="n">
        <v>8</v>
      </c>
      <c r="G16" s="10" t="inlineStr">
        <is>
          <t>Sprint 2</t>
        </is>
      </c>
      <c r="H16" s="27" t="inlineStr">
        <is>
          <t>Completado</t>
        </is>
      </c>
      <c r="I16" s="12" t="inlineStr">
        <is>
          <t>100%</t>
        </is>
      </c>
      <c r="J16" s="26" t="inlineStr">
        <is>
          <t>Como cliente autenticado, quiero seleccionar la cancha, fecha y horas, para apartar mi turno sin solapamientos.</t>
        </is>
      </c>
      <c r="K16" s="26" t="inlineStr">
        <is>
          <t>POST /api/reservas/</t>
        </is>
      </c>
      <c r="L16" s="26" t="inlineStr">
        <is>
          <t>ReservaModal.tsx</t>
        </is>
      </c>
    </row>
    <row r="17">
      <c r="B17" s="16" t="inlineStr">
        <is>
          <t>HU-08</t>
        </is>
      </c>
      <c r="C17" s="28" t="inlineStr">
        <is>
          <t>Cálculo Automático de Tarifas</t>
        </is>
      </c>
      <c r="D17" s="14" t="inlineStr">
        <is>
          <t>Reservas</t>
        </is>
      </c>
      <c r="E17" s="14" t="inlineStr">
        <is>
          <t>Media</t>
        </is>
      </c>
      <c r="F17" s="14" t="n">
        <v>3</v>
      </c>
      <c r="G17" s="14" t="inlineStr">
        <is>
          <t>Sprint 2</t>
        </is>
      </c>
      <c r="H17" s="27" t="inlineStr">
        <is>
          <t>Completado</t>
        </is>
      </c>
      <c r="I17" s="16" t="inlineStr">
        <is>
          <t>100%</t>
        </is>
      </c>
      <c r="J17" s="28" t="inlineStr">
        <is>
          <t>Como cliente, quiero que el sistema calcule el costo según las horas y precio de la cancha, para saber el valor exacto.</t>
        </is>
      </c>
      <c r="K17" s="28" t="inlineStr">
        <is>
          <t>GET /api/canchas/{id}</t>
        </is>
      </c>
      <c r="L17" s="28" t="inlineStr">
        <is>
          <t>ReservaModal.tsx</t>
        </is>
      </c>
    </row>
    <row r="18">
      <c r="B18" s="12" t="inlineStr">
        <is>
          <t>HU-09</t>
        </is>
      </c>
      <c r="C18" s="26" t="inlineStr">
        <is>
          <t>Panel 'Mis Reservas' del Cliente</t>
        </is>
      </c>
      <c r="D18" s="10" t="inlineStr">
        <is>
          <t>Reservas</t>
        </is>
      </c>
      <c r="E18" s="10" t="inlineStr">
        <is>
          <t>Alta</t>
        </is>
      </c>
      <c r="F18" s="10" t="n">
        <v>5</v>
      </c>
      <c r="G18" s="10" t="inlineStr">
        <is>
          <t>Sprint 3</t>
        </is>
      </c>
      <c r="H18" s="27" t="inlineStr">
        <is>
          <t>Completado</t>
        </is>
      </c>
      <c r="I18" s="12" t="inlineStr">
        <is>
          <t>100%</t>
        </is>
      </c>
      <c r="J18" s="26" t="inlineStr">
        <is>
          <t>Como cliente, quiero ver la lista de mis partidos reservados con fecha, hora y estado, para llevar el control de mi agenda.</t>
        </is>
      </c>
      <c r="K18" s="26" t="inlineStr">
        <is>
          <t>GET /api/reservas/mis-reservas</t>
        </is>
      </c>
      <c r="L18" s="26" t="inlineStr">
        <is>
          <t>DashboardCliente.tsx</t>
        </is>
      </c>
    </row>
    <row r="19">
      <c r="B19" s="16" t="inlineStr">
        <is>
          <t>HU-10</t>
        </is>
      </c>
      <c r="C19" s="28" t="inlineStr">
        <is>
          <t>Cancelación de Turnos por el Cliente</t>
        </is>
      </c>
      <c r="D19" s="14" t="inlineStr">
        <is>
          <t>Reservas</t>
        </is>
      </c>
      <c r="E19" s="14" t="inlineStr">
        <is>
          <t>Media</t>
        </is>
      </c>
      <c r="F19" s="14" t="n">
        <v>5</v>
      </c>
      <c r="G19" s="14" t="inlineStr">
        <is>
          <t>Sprint 3</t>
        </is>
      </c>
      <c r="H19" s="27" t="inlineStr">
        <is>
          <t>Completado</t>
        </is>
      </c>
      <c r="I19" s="16" t="inlineStr">
        <is>
          <t>100%</t>
        </is>
      </c>
      <c r="J19" s="28" t="inlineStr">
        <is>
          <t>Como cliente, quiero cancelar una reserva que no pueda asistir, para liberar el horario a otros jugadores.</t>
        </is>
      </c>
      <c r="K19" s="28" t="inlineStr">
        <is>
          <t>DELETE /api/reservas/{id}</t>
        </is>
      </c>
      <c r="L19" s="28" t="inlineStr">
        <is>
          <t>DashboardCliente.tsx</t>
        </is>
      </c>
    </row>
    <row r="20">
      <c r="B20" s="12" t="inlineStr">
        <is>
          <t>HU-11</t>
        </is>
      </c>
      <c r="C20" s="26" t="inlineStr">
        <is>
          <t>Visualización de Torneos Disponibles</t>
        </is>
      </c>
      <c r="D20" s="10" t="inlineStr">
        <is>
          <t>Torneos</t>
        </is>
      </c>
      <c r="E20" s="10" t="inlineStr">
        <is>
          <t>Media</t>
        </is>
      </c>
      <c r="F20" s="10" t="n">
        <v>5</v>
      </c>
      <c r="G20" s="10" t="inlineStr">
        <is>
          <t>Sprint 3</t>
        </is>
      </c>
      <c r="H20" s="27" t="inlineStr">
        <is>
          <t>Completado</t>
        </is>
      </c>
      <c r="I20" s="12" t="inlineStr">
        <is>
          <t>100%</t>
        </is>
      </c>
      <c r="J20" s="26" t="inlineStr">
        <is>
          <t>Como cliente, quiero ver los torneos de la sede, categorías, fechas y premios, para enterarme de los campeonatos.</t>
        </is>
      </c>
      <c r="K20" s="26" t="inlineStr">
        <is>
          <t>GET /api/torneos/</t>
        </is>
      </c>
      <c r="L20" s="26" t="inlineStr">
        <is>
          <t>Torneos.tsx</t>
        </is>
      </c>
    </row>
    <row r="21">
      <c r="B21" s="16" t="inlineStr">
        <is>
          <t>HU-12</t>
        </is>
      </c>
      <c r="C21" s="28" t="inlineStr">
        <is>
          <t>Inscripción de Equipo a Torneos</t>
        </is>
      </c>
      <c r="D21" s="14" t="inlineStr">
        <is>
          <t>Torneos</t>
        </is>
      </c>
      <c r="E21" s="14" t="inlineStr">
        <is>
          <t>Media</t>
        </is>
      </c>
      <c r="F21" s="14" t="n">
        <v>5</v>
      </c>
      <c r="G21" s="14" t="inlineStr">
        <is>
          <t>Sprint 3</t>
        </is>
      </c>
      <c r="H21" s="27" t="inlineStr">
        <is>
          <t>Completado</t>
        </is>
      </c>
      <c r="I21" s="16" t="inlineStr">
        <is>
          <t>100%</t>
        </is>
      </c>
      <c r="J21" s="28" t="inlineStr">
        <is>
          <t>Como capitán de equipo, quiero inscribir mi equipo en un torneo abierto, para competir por el trofeo y premio.</t>
        </is>
      </c>
      <c r="K21" s="28" t="inlineStr">
        <is>
          <t>POST /api/torneos/{id}/inscribir</t>
        </is>
      </c>
      <c r="L21" s="28" t="inlineStr">
        <is>
          <t>Torneos.tsx</t>
        </is>
      </c>
    </row>
    <row r="22">
      <c r="B22" s="12" t="inlineStr">
        <is>
          <t>HU-13</t>
        </is>
      </c>
      <c r="C22" s="26" t="inlineStr">
        <is>
          <t>Dock Lateral: Modo Oscuro y Modo Claro</t>
        </is>
      </c>
      <c r="D22" s="10" t="inlineStr">
        <is>
          <t>UI / UX</t>
        </is>
      </c>
      <c r="E22" s="10" t="inlineStr">
        <is>
          <t>Alta</t>
        </is>
      </c>
      <c r="F22" s="10" t="n">
        <v>5</v>
      </c>
      <c r="G22" s="10" t="inlineStr">
        <is>
          <t>Sprint 4</t>
        </is>
      </c>
      <c r="H22" s="27" t="inlineStr">
        <is>
          <t>Completado</t>
        </is>
      </c>
      <c r="I22" s="12" t="inlineStr">
        <is>
          <t>100%</t>
        </is>
      </c>
      <c r="J22" s="26" t="inlineStr">
        <is>
          <t>Como usuario, quiero alternar entre tema oscuro y claro desde un botón elegante a la derecha, para cuidar mi vista.</t>
        </is>
      </c>
      <c r="K22" s="26" t="inlineStr">
        <is>
          <t>Client-side Theme</t>
        </is>
      </c>
      <c r="L22" s="26" t="inlineStr">
        <is>
          <t>ThemeJoystick.tsx</t>
        </is>
      </c>
    </row>
    <row r="23">
      <c r="B23" s="16" t="inlineStr">
        <is>
          <t>HU-14</t>
        </is>
      </c>
      <c r="C23" s="28" t="inlineStr">
        <is>
          <t>Dock Lateral: Modo Celular Interactivo</t>
        </is>
      </c>
      <c r="D23" s="14" t="inlineStr">
        <is>
          <t>UI / UX</t>
        </is>
      </c>
      <c r="E23" s="14" t="inlineStr">
        <is>
          <t>Alta</t>
        </is>
      </c>
      <c r="F23" s="14" t="n">
        <v>5</v>
      </c>
      <c r="G23" s="14" t="inlineStr">
        <is>
          <t>Sprint 4</t>
        </is>
      </c>
      <c r="H23" s="27" t="inlineStr">
        <is>
          <t>Completado</t>
        </is>
      </c>
      <c r="I23" s="16" t="inlineStr">
        <is>
          <t>100%</t>
        </is>
      </c>
      <c r="J23" s="28" t="inlineStr">
        <is>
          <t>Como usuario o evaluador, quiero simular la vista en un marco de smartphone con dynamic island, para probar responsividad.</t>
        </is>
      </c>
      <c r="K23" s="28" t="inlineStr">
        <is>
          <t>Client-side Viewport</t>
        </is>
      </c>
      <c r="L23" s="28" t="inlineStr">
        <is>
          <t>ThemeJoystick.tsx</t>
        </is>
      </c>
    </row>
    <row r="24">
      <c r="B24" s="12" t="inlineStr">
        <is>
          <t>HU-15</t>
        </is>
      </c>
      <c r="C24" s="26" t="inlineStr">
        <is>
          <t>Dock Lateral: Modo Computador (PC)</t>
        </is>
      </c>
      <c r="D24" s="10" t="inlineStr">
        <is>
          <t>UI / UX</t>
        </is>
      </c>
      <c r="E24" s="10" t="inlineStr">
        <is>
          <t>Alta</t>
        </is>
      </c>
      <c r="F24" s="10" t="n">
        <v>3</v>
      </c>
      <c r="G24" s="10" t="inlineStr">
        <is>
          <t>Sprint 4</t>
        </is>
      </c>
      <c r="H24" s="27" t="inlineStr">
        <is>
          <t>Completado</t>
        </is>
      </c>
      <c r="I24" s="12" t="inlineStr">
        <is>
          <t>100%</t>
        </is>
      </c>
      <c r="J24" s="26" t="inlineStr">
        <is>
          <t>Como usuario de escritorio, quiero regresar a la vista panorámica de PC con un clic, para ver todo el contenido.</t>
        </is>
      </c>
      <c r="K24" s="26" t="inlineStr">
        <is>
          <t>Client-side Viewport</t>
        </is>
      </c>
      <c r="L24" s="26" t="inlineStr">
        <is>
          <t>ThemeJoystick.tsx</t>
        </is>
      </c>
    </row>
    <row r="25">
      <c r="B25" s="16" t="inlineStr">
        <is>
          <t>HU-16</t>
        </is>
      </c>
      <c r="C25" s="28" t="inlineStr">
        <is>
          <t>Pasarela de Pagos Online PSE / Wompi</t>
        </is>
      </c>
      <c r="D25" s="14" t="inlineStr">
        <is>
          <t>Pagos</t>
        </is>
      </c>
      <c r="E25" s="14" t="inlineStr">
        <is>
          <t>Alta</t>
        </is>
      </c>
      <c r="F25" s="14" t="n">
        <v>8</v>
      </c>
      <c r="G25" s="14" t="inlineStr">
        <is>
          <t>Sprint 4</t>
        </is>
      </c>
      <c r="H25" s="29" t="inlineStr">
        <is>
          <t>En Progreso</t>
        </is>
      </c>
      <c r="I25" s="16" t="inlineStr">
        <is>
          <t>0%</t>
        </is>
      </c>
      <c r="J25" s="28" t="inlineStr">
        <is>
          <t>Como cliente, quiero pagar mi reserva en línea con tarjeta débito/crédito o PSE en pasarela bancaria en vivo.</t>
        </is>
      </c>
      <c r="K25" s="28" t="inlineStr">
        <is>
          <t>Integración Pasarela API</t>
        </is>
      </c>
      <c r="L25" s="28" t="inlineStr">
        <is>
          <t>PasarelaPago.tsx</t>
        </is>
      </c>
    </row>
    <row r="26">
      <c r="B26" s="12" t="inlineStr">
        <is>
          <t>HU-17</t>
        </is>
      </c>
      <c r="C26" s="26" t="inlineStr">
        <is>
          <t>Descarga de Comprobante PDF con Código QR</t>
        </is>
      </c>
      <c r="D26" s="10" t="inlineStr">
        <is>
          <t>Comprobantes</t>
        </is>
      </c>
      <c r="E26" s="10" t="inlineStr">
        <is>
          <t>Media</t>
        </is>
      </c>
      <c r="F26" s="10" t="n">
        <v>5</v>
      </c>
      <c r="G26" s="10" t="inlineStr">
        <is>
          <t>Sprint 4</t>
        </is>
      </c>
      <c r="H26" s="29" t="inlineStr">
        <is>
          <t>En Progreso</t>
        </is>
      </c>
      <c r="I26" s="12" t="inlineStr">
        <is>
          <t>0%</t>
        </is>
      </c>
      <c r="J26" s="26" t="inlineStr">
        <is>
          <t>Como cliente con reserva confirmada, quiero descargar un tiquete en PDF con código QR para mostrar en recepción.</t>
        </is>
      </c>
      <c r="K26" s="26" t="inlineStr">
        <is>
          <t>Generador PDF Backend</t>
        </is>
      </c>
      <c r="L26" s="26" t="inlineStr">
        <is>
          <t>ComprobanteReserva.tsx</t>
        </is>
      </c>
    </row>
    <row r="27">
      <c r="B27" s="16" t="inlineStr">
        <is>
          <t>HU-18</t>
        </is>
      </c>
      <c r="C27" s="28" t="inlineStr">
        <is>
          <t>Notificaciones de Recordatorio por SMS / WhatsApp</t>
        </is>
      </c>
      <c r="D27" s="14" t="inlineStr">
        <is>
          <t>Notificaciones</t>
        </is>
      </c>
      <c r="E27" s="14" t="inlineStr">
        <is>
          <t>Baja</t>
        </is>
      </c>
      <c r="F27" s="14" t="n">
        <v>3</v>
      </c>
      <c r="G27" s="14" t="inlineStr">
        <is>
          <t>Sprint 4</t>
        </is>
      </c>
      <c r="H27" s="29" t="inlineStr">
        <is>
          <t>En Progreso</t>
        </is>
      </c>
      <c r="I27" s="16" t="inlineStr">
        <is>
          <t>0%</t>
        </is>
      </c>
      <c r="J27" s="28" t="inlineStr">
        <is>
          <t>Como cliente, quiero recibir un mensaje de recordatorio 2 horas antes de mi partido programado.</t>
        </is>
      </c>
      <c r="K27" s="28" t="inlineStr">
        <is>
          <t>Twilio / Meta API</t>
        </is>
      </c>
      <c r="L27" s="28" t="inlineStr">
        <is>
          <t>ServicioRecordatorios.py</t>
        </is>
      </c>
    </row>
    <row r="28">
      <c r="B28" s="12" t="inlineStr">
        <is>
          <t>HU-19</t>
        </is>
      </c>
      <c r="C28" s="26" t="inlineStr">
        <is>
          <t>Sistema de Puntos y Fidelización de Jugadores</t>
        </is>
      </c>
      <c r="D28" s="10" t="inlineStr">
        <is>
          <t>Fidelización</t>
        </is>
      </c>
      <c r="E28" s="10" t="inlineStr">
        <is>
          <t>Baja</t>
        </is>
      </c>
      <c r="F28" s="10" t="n">
        <v>5</v>
      </c>
      <c r="G28" s="10" t="inlineStr">
        <is>
          <t>Sprint 4</t>
        </is>
      </c>
      <c r="H28" s="29" t="inlineStr">
        <is>
          <t>En Progreso</t>
        </is>
      </c>
      <c r="I28" s="12" t="inlineStr">
        <is>
          <t>0%</t>
        </is>
      </c>
      <c r="J28" s="26" t="inlineStr">
        <is>
          <t>Como cliente frecuente, quiero acumular puntos por cada hora jugada para canjear por horas gratis.</t>
        </is>
      </c>
      <c r="K28" s="26" t="inlineStr">
        <is>
          <t>Módulo Puntos DB</t>
        </is>
      </c>
      <c r="L28" s="26" t="inlineStr">
        <is>
          <t>PuntosCliente.tsx</t>
        </is>
      </c>
    </row>
    <row r="29">
      <c r="B29" s="16" t="inlineStr">
        <is>
          <t>HU-20</t>
        </is>
      </c>
      <c r="C29" s="28" t="inlineStr">
        <is>
          <t>Sincronización con Google Calendar</t>
        </is>
      </c>
      <c r="D29" s="14" t="inlineStr">
        <is>
          <t>Integraciones</t>
        </is>
      </c>
      <c r="E29" s="14" t="inlineStr">
        <is>
          <t>Baja</t>
        </is>
      </c>
      <c r="F29" s="14" t="n">
        <v>3</v>
      </c>
      <c r="G29" s="14" t="inlineStr">
        <is>
          <t>Sprint 4</t>
        </is>
      </c>
      <c r="H29" s="29" t="inlineStr">
        <is>
          <t>En Progreso</t>
        </is>
      </c>
      <c r="I29" s="16" t="inlineStr">
        <is>
          <t>0%</t>
        </is>
      </c>
      <c r="J29" s="28" t="inlineStr">
        <is>
          <t>Como cliente, quiero un botón para añadir automáticamente el partido agendado a mi calendario de Google.</t>
        </is>
      </c>
      <c r="K29" s="28" t="inlineStr">
        <is>
          <t>Google Calendar API</t>
        </is>
      </c>
      <c r="L29" s="28" t="inlineStr">
        <is>
          <t>BotonCalendar.tsx</t>
        </is>
      </c>
    </row>
  </sheetData>
  <mergeCells count="1">
    <mergeCell ref="B2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8" customWidth="1" min="4" max="4"/>
    <col width="13" customWidth="1" min="5" max="5"/>
    <col width="12" customWidth="1" min="6" max="6"/>
    <col width="12" customWidth="1" min="7" max="7"/>
    <col width="15" customWidth="1" min="8" max="8"/>
    <col width="12" customWidth="1" min="9" max="9"/>
    <col width="48" customWidth="1" min="10" max="10"/>
    <col width="33" customWidth="1" min="11" max="11"/>
    <col width="23" customWidth="1" min="12" max="12"/>
  </cols>
  <sheetData>
    <row r="1"/>
    <row r="2">
      <c r="B2" s="30" t="inlineStr">
        <is>
          <t>👑 HISTORIAS DE USUARIO — MÓDULO ADMINISTRADOR &amp; GESTIÓN (77% AVANCE)</t>
        </is>
      </c>
    </row>
    <row r="3"/>
    <row r="4">
      <c r="B4" s="22" t="inlineStr">
        <is>
          <t>Total HUs Admin:</t>
        </is>
      </c>
      <c r="C4" s="23">
        <f>COUNTA(B10:B27)</f>
        <v/>
      </c>
      <c r="D4" s="22" t="inlineStr">
        <is>
          <t>Completadas:</t>
        </is>
      </c>
      <c r="E4" s="23">
        <f>COUNTIF(H10:H27, "Completado")</f>
        <v/>
      </c>
      <c r="F4" s="22" t="inlineStr">
        <is>
          <t>% Avance Admin:</t>
        </is>
      </c>
      <c r="G4" s="24">
        <f>E4/C4</f>
        <v/>
      </c>
      <c r="H4" s="22" t="inlineStr">
        <is>
          <t>Puntos Totales:</t>
        </is>
      </c>
      <c r="I4" s="23">
        <f>SUM(F10:F27)</f>
        <v/>
      </c>
    </row>
    <row r="5"/>
    <row r="6"/>
    <row r="7"/>
    <row r="8"/>
    <row r="9">
      <c r="B9" s="31" t="inlineStr">
        <is>
          <t>ID</t>
        </is>
      </c>
      <c r="C9" s="31" t="inlineStr">
        <is>
          <t>Título de la Historia</t>
        </is>
      </c>
      <c r="D9" s="31" t="inlineStr">
        <is>
          <t>Módulo</t>
        </is>
      </c>
      <c r="E9" s="31" t="inlineStr">
        <is>
          <t>Prioridad</t>
        </is>
      </c>
      <c r="F9" s="31" t="inlineStr">
        <is>
          <t>Puntos</t>
        </is>
      </c>
      <c r="G9" s="31" t="inlineStr">
        <is>
          <t>Sprint</t>
        </is>
      </c>
      <c r="H9" s="31" t="inlineStr">
        <is>
          <t>Estado</t>
        </is>
      </c>
      <c r="I9" s="31" t="inlineStr">
        <is>
          <t>% Avance</t>
        </is>
      </c>
      <c r="J9" s="31" t="inlineStr">
        <is>
          <t>Descripción (Como / Quiero / Para)</t>
        </is>
      </c>
      <c r="K9" s="31" t="inlineStr">
        <is>
          <t>Endpoint API Backend</t>
        </is>
      </c>
      <c r="L9" s="31" t="inlineStr">
        <is>
          <t>Componente Frontend</t>
        </is>
      </c>
    </row>
    <row r="10">
      <c r="B10" s="12" t="inlineStr">
        <is>
          <t>HU-21</t>
        </is>
      </c>
      <c r="C10" s="26" t="inlineStr">
        <is>
          <t>Panel de Control Principal (Dashboard Admin)</t>
        </is>
      </c>
      <c r="D10" s="10" t="inlineStr">
        <is>
          <t>Administración</t>
        </is>
      </c>
      <c r="E10" s="10" t="inlineStr">
        <is>
          <t>Alta</t>
        </is>
      </c>
      <c r="F10" s="10" t="n">
        <v>8</v>
      </c>
      <c r="G10" s="10" t="inlineStr">
        <is>
          <t>Sprint 1</t>
        </is>
      </c>
      <c r="H10" s="27" t="inlineStr">
        <is>
          <t>Completado</t>
        </is>
      </c>
      <c r="I10" s="12" t="inlineStr">
        <is>
          <t>100%</t>
        </is>
      </c>
      <c r="J10" s="26" t="inlineStr">
        <is>
          <t>Como administrador, quiero ver el resumen global de reservas, ingresos totales, usuarios y canchas activas en un panel.</t>
        </is>
      </c>
      <c r="K10" s="26" t="inlineStr">
        <is>
          <t>GET /api/reportes/resumen</t>
        </is>
      </c>
      <c r="L10" s="26" t="inlineStr">
        <is>
          <t>DashboardAdmin.tsx</t>
        </is>
      </c>
    </row>
    <row r="11">
      <c r="B11" s="16" t="inlineStr">
        <is>
          <t>HU-22</t>
        </is>
      </c>
      <c r="C11" s="28" t="inlineStr">
        <is>
          <t>Métricas Financieras e Ingresos en Tiempo Real</t>
        </is>
      </c>
      <c r="D11" s="14" t="inlineStr">
        <is>
          <t>Reportes</t>
        </is>
      </c>
      <c r="E11" s="14" t="inlineStr">
        <is>
          <t>Alta</t>
        </is>
      </c>
      <c r="F11" s="14" t="n">
        <v>5</v>
      </c>
      <c r="G11" s="14" t="inlineStr">
        <is>
          <t>Sprint 1</t>
        </is>
      </c>
      <c r="H11" s="27" t="inlineStr">
        <is>
          <t>Completado</t>
        </is>
      </c>
      <c r="I11" s="16" t="inlineStr">
        <is>
          <t>100%</t>
        </is>
      </c>
      <c r="J11" s="28" t="inlineStr">
        <is>
          <t>Como administrador, quiero consultar el dinero recaudado en el mes y proyecciones, para evaluar la rentabilidad.</t>
        </is>
      </c>
      <c r="K11" s="28" t="inlineStr">
        <is>
          <t>GET /api/reportes/resumen</t>
        </is>
      </c>
      <c r="L11" s="28" t="inlineStr">
        <is>
          <t>DashboardAdmin.tsx</t>
        </is>
      </c>
    </row>
    <row r="12">
      <c r="B12" s="12" t="inlineStr">
        <is>
          <t>HU-23</t>
        </is>
      </c>
      <c r="C12" s="26" t="inlineStr">
        <is>
          <t>Exportación de Reportes a Excel (.xlsx / .csv)</t>
        </is>
      </c>
      <c r="D12" s="10" t="inlineStr">
        <is>
          <t>Reportes</t>
        </is>
      </c>
      <c r="E12" s="10" t="inlineStr">
        <is>
          <t>Alta</t>
        </is>
      </c>
      <c r="F12" s="10" t="n">
        <v>5</v>
      </c>
      <c r="G12" s="10" t="inlineStr">
        <is>
          <t>Sprint 2</t>
        </is>
      </c>
      <c r="H12" s="27" t="inlineStr">
        <is>
          <t>Completado</t>
        </is>
      </c>
      <c r="I12" s="12" t="inlineStr">
        <is>
          <t>100%</t>
        </is>
      </c>
      <c r="J12" s="26" t="inlineStr">
        <is>
          <t>Como administrador, quiero descargar la base de datos de reservas e ingresos en formato Excel, para contabilidad física.</t>
        </is>
      </c>
      <c r="K12" s="26" t="inlineStr">
        <is>
          <t>Client Export / API</t>
        </is>
      </c>
      <c r="L12" s="26" t="inlineStr">
        <is>
          <t>DashboardAdmin.tsx</t>
        </is>
      </c>
    </row>
    <row r="13">
      <c r="B13" s="16" t="inlineStr">
        <is>
          <t>HU-24</t>
        </is>
      </c>
      <c r="C13" s="28" t="inlineStr">
        <is>
          <t>Creación y Registro de Nuevas Canchas</t>
        </is>
      </c>
      <c r="D13" s="14" t="inlineStr">
        <is>
          <t>Canchas</t>
        </is>
      </c>
      <c r="E13" s="14" t="inlineStr">
        <is>
          <t>Alta</t>
        </is>
      </c>
      <c r="F13" s="14" t="n">
        <v>5</v>
      </c>
      <c r="G13" s="14" t="inlineStr">
        <is>
          <t>Sprint 2</t>
        </is>
      </c>
      <c r="H13" s="27" t="inlineStr">
        <is>
          <t>Completado</t>
        </is>
      </c>
      <c r="I13" s="16" t="inlineStr">
        <is>
          <t>100%</t>
        </is>
      </c>
      <c r="J13" s="28" t="inlineStr">
        <is>
          <t>Como administrador, quiero agregar nuevas canchas con su tipo, capacidad, precio/hora y servicios, para ampliar la oferta.</t>
        </is>
      </c>
      <c r="K13" s="28" t="inlineStr">
        <is>
          <t>POST /api/canchas/</t>
        </is>
      </c>
      <c r="L13" s="28" t="inlineStr">
        <is>
          <t>DashboardAdmin.tsx</t>
        </is>
      </c>
    </row>
    <row r="14">
      <c r="B14" s="12" t="inlineStr">
        <is>
          <t>HU-25</t>
        </is>
      </c>
      <c r="C14" s="26" t="inlineStr">
        <is>
          <t>Edición y Actualización de Tarifas de Canchas</t>
        </is>
      </c>
      <c r="D14" s="10" t="inlineStr">
        <is>
          <t>Canchas</t>
        </is>
      </c>
      <c r="E14" s="10" t="inlineStr">
        <is>
          <t>Alta</t>
        </is>
      </c>
      <c r="F14" s="10" t="n">
        <v>5</v>
      </c>
      <c r="G14" s="10" t="inlineStr">
        <is>
          <t>Sprint 2</t>
        </is>
      </c>
      <c r="H14" s="27" t="inlineStr">
        <is>
          <t>Completado</t>
        </is>
      </c>
      <c r="I14" s="12" t="inlineStr">
        <is>
          <t>100%</t>
        </is>
      </c>
      <c r="J14" s="26" t="inlineStr">
        <is>
          <t>Como administrador, quiero modificar los precios por hora y características de cada cancha, para ajustar promociones.</t>
        </is>
      </c>
      <c r="K14" s="26" t="inlineStr">
        <is>
          <t>PUT /api/canchas/{id}</t>
        </is>
      </c>
      <c r="L14" s="26" t="inlineStr">
        <is>
          <t>DashboardAdmin.tsx</t>
        </is>
      </c>
    </row>
    <row r="15">
      <c r="B15" s="16" t="inlineStr">
        <is>
          <t>HU-26</t>
        </is>
      </c>
      <c r="C15" s="28" t="inlineStr">
        <is>
          <t>Desactivación / Mantenimiento de Canchas</t>
        </is>
      </c>
      <c r="D15" s="14" t="inlineStr">
        <is>
          <t>Canchas</t>
        </is>
      </c>
      <c r="E15" s="14" t="inlineStr">
        <is>
          <t>Media</t>
        </is>
      </c>
      <c r="F15" s="14" t="n">
        <v>3</v>
      </c>
      <c r="G15" s="14" t="inlineStr">
        <is>
          <t>Sprint 2</t>
        </is>
      </c>
      <c r="H15" s="27" t="inlineStr">
        <is>
          <t>Completado</t>
        </is>
      </c>
      <c r="I15" s="16" t="inlineStr">
        <is>
          <t>100%</t>
        </is>
      </c>
      <c r="J15" s="28" t="inlineStr">
        <is>
          <t>Como administrador, quiero deshabilitar temporalmente una cancha en mantenimiento, para que los clientes no la reserven.</t>
        </is>
      </c>
      <c r="K15" s="28" t="inlineStr">
        <is>
          <t>PUT /api/canchas/{id}</t>
        </is>
      </c>
      <c r="L15" s="28" t="inlineStr">
        <is>
          <t>DashboardAdmin.tsx</t>
        </is>
      </c>
    </row>
    <row r="16">
      <c r="B16" s="12" t="inlineStr">
        <is>
          <t>HU-27</t>
        </is>
      </c>
      <c r="C16" s="26" t="inlineStr">
        <is>
          <t>Eliminación Segura de Canchas</t>
        </is>
      </c>
      <c r="D16" s="10" t="inlineStr">
        <is>
          <t>Canchas</t>
        </is>
      </c>
      <c r="E16" s="10" t="inlineStr">
        <is>
          <t>Baja</t>
        </is>
      </c>
      <c r="F16" s="10" t="n">
        <v>3</v>
      </c>
      <c r="G16" s="10" t="inlineStr">
        <is>
          <t>Sprint 2</t>
        </is>
      </c>
      <c r="H16" s="27" t="inlineStr">
        <is>
          <t>Completado</t>
        </is>
      </c>
      <c r="I16" s="12" t="inlineStr">
        <is>
          <t>100%</t>
        </is>
      </c>
      <c r="J16" s="26" t="inlineStr">
        <is>
          <t>Como administrador, quiero dar de baja canchas obsoletas con confirmación de seguridad.</t>
        </is>
      </c>
      <c r="K16" s="26" t="inlineStr">
        <is>
          <t>DELETE /api/canchas/{id}</t>
        </is>
      </c>
      <c r="L16" s="26" t="inlineStr">
        <is>
          <t>DashboardAdmin.tsx</t>
        </is>
      </c>
    </row>
    <row r="17">
      <c r="B17" s="16" t="inlineStr">
        <is>
          <t>HU-28</t>
        </is>
      </c>
      <c r="C17" s="28" t="inlineStr">
        <is>
          <t>Gestión Completa de Reservas Globales</t>
        </is>
      </c>
      <c r="D17" s="14" t="inlineStr">
        <is>
          <t>Reservas</t>
        </is>
      </c>
      <c r="E17" s="14" t="inlineStr">
        <is>
          <t>Alta</t>
        </is>
      </c>
      <c r="F17" s="14" t="n">
        <v>5</v>
      </c>
      <c r="G17" s="14" t="inlineStr">
        <is>
          <t>Sprint 3</t>
        </is>
      </c>
      <c r="H17" s="27" t="inlineStr">
        <is>
          <t>Completado</t>
        </is>
      </c>
      <c r="I17" s="16" t="inlineStr">
        <is>
          <t>100%</t>
        </is>
      </c>
      <c r="J17" s="28" t="inlineStr">
        <is>
          <t>Como administrador, quiero ver la lista de todas las reservas de todos los clientes con filtros por fecha y cancha.</t>
        </is>
      </c>
      <c r="K17" s="28" t="inlineStr">
        <is>
          <t>GET /api/reservas/</t>
        </is>
      </c>
      <c r="L17" s="28" t="inlineStr">
        <is>
          <t>DashboardAdmin.tsx</t>
        </is>
      </c>
    </row>
    <row r="18">
      <c r="B18" s="12" t="inlineStr">
        <is>
          <t>HU-29</t>
        </is>
      </c>
      <c r="C18" s="26" t="inlineStr">
        <is>
          <t>Cambio de Estado de Reserva (Confirmar / Completar)</t>
        </is>
      </c>
      <c r="D18" s="10" t="inlineStr">
        <is>
          <t>Reservas</t>
        </is>
      </c>
      <c r="E18" s="10" t="inlineStr">
        <is>
          <t>Alta</t>
        </is>
      </c>
      <c r="F18" s="10" t="n">
        <v>5</v>
      </c>
      <c r="G18" s="10" t="inlineStr">
        <is>
          <t>Sprint 3</t>
        </is>
      </c>
      <c r="H18" s="27" t="inlineStr">
        <is>
          <t>Completado</t>
        </is>
      </c>
      <c r="I18" s="12" t="inlineStr">
        <is>
          <t>100%</t>
        </is>
      </c>
      <c r="J18" s="26" t="inlineStr">
        <is>
          <t>Como administrador, quiero marcar reservas como pagadas, completadas o canceladas al llegar los jugadores a la sede.</t>
        </is>
      </c>
      <c r="K18" s="26" t="inlineStr">
        <is>
          <t>PUT /api/reservas/{id}/estado</t>
        </is>
      </c>
      <c r="L18" s="26" t="inlineStr">
        <is>
          <t>DashboardAdmin.tsx</t>
        </is>
      </c>
    </row>
    <row r="19">
      <c r="B19" s="16" t="inlineStr">
        <is>
          <t>HU-30</t>
        </is>
      </c>
      <c r="C19" s="28" t="inlineStr">
        <is>
          <t>Registro y Alta de Empleados de la Sede</t>
        </is>
      </c>
      <c r="D19" s="14" t="inlineStr">
        <is>
          <t>Personal</t>
        </is>
      </c>
      <c r="E19" s="14" t="inlineStr">
        <is>
          <t>Alta</t>
        </is>
      </c>
      <c r="F19" s="14" t="n">
        <v>5</v>
      </c>
      <c r="G19" s="14" t="inlineStr">
        <is>
          <t>Sprint 3</t>
        </is>
      </c>
      <c r="H19" s="27" t="inlineStr">
        <is>
          <t>Completado</t>
        </is>
      </c>
      <c r="I19" s="16" t="inlineStr">
        <is>
          <t>100%</t>
        </is>
      </c>
      <c r="J19" s="28" t="inlineStr">
        <is>
          <t>Como administrador, quiero registrar empleados (Coordinadores, Mantenimiento, Seguridad, Atención), para ordenar el personal.</t>
        </is>
      </c>
      <c r="K19" s="28" t="inlineStr">
        <is>
          <t>POST /api/empleados/</t>
        </is>
      </c>
      <c r="L19" s="28" t="inlineStr">
        <is>
          <t>DashboardAdmin.tsx</t>
        </is>
      </c>
    </row>
    <row r="20">
      <c r="B20" s="12" t="inlineStr">
        <is>
          <t>HU-31</t>
        </is>
      </c>
      <c r="C20" s="26" t="inlineStr">
        <is>
          <t>Listado y Edición del Personal</t>
        </is>
      </c>
      <c r="D20" s="10" t="inlineStr">
        <is>
          <t>Personal</t>
        </is>
      </c>
      <c r="E20" s="10" t="inlineStr">
        <is>
          <t>Media</t>
        </is>
      </c>
      <c r="F20" s="10" t="n">
        <v>3</v>
      </c>
      <c r="G20" s="10" t="inlineStr">
        <is>
          <t>Sprint 3</t>
        </is>
      </c>
      <c r="H20" s="27" t="inlineStr">
        <is>
          <t>Completado</t>
        </is>
      </c>
      <c r="I20" s="12" t="inlineStr">
        <is>
          <t>100%</t>
        </is>
      </c>
      <c r="J20" s="26" t="inlineStr">
        <is>
          <t>Como administrador, quiero consultar el teléfono, correo y cargo de cada empleado y editar sus datos.</t>
        </is>
      </c>
      <c r="K20" s="26" t="inlineStr">
        <is>
          <t>GET/PUT /api/empleados/</t>
        </is>
      </c>
      <c r="L20" s="26" t="inlineStr">
        <is>
          <t>DashboardAdmin.tsx</t>
        </is>
      </c>
    </row>
    <row r="21">
      <c r="B21" s="16" t="inlineStr">
        <is>
          <t>HU-32</t>
        </is>
      </c>
      <c r="C21" s="28" t="inlineStr">
        <is>
          <t>Activación y Desactivación de Empleados</t>
        </is>
      </c>
      <c r="D21" s="14" t="inlineStr">
        <is>
          <t>Personal</t>
        </is>
      </c>
      <c r="E21" s="14" t="inlineStr">
        <is>
          <t>Media</t>
        </is>
      </c>
      <c r="F21" s="14" t="n">
        <v>3</v>
      </c>
      <c r="G21" s="14" t="inlineStr">
        <is>
          <t>Sprint 3</t>
        </is>
      </c>
      <c r="H21" s="27" t="inlineStr">
        <is>
          <t>Completado</t>
        </is>
      </c>
      <c r="I21" s="16" t="inlineStr">
        <is>
          <t>100%</t>
        </is>
      </c>
      <c r="J21" s="28" t="inlineStr">
        <is>
          <t>Como administrador, quiero desactivar empleados inactivos sin perder el registro histórico.</t>
        </is>
      </c>
      <c r="K21" s="28" t="inlineStr">
        <is>
          <t>PUT /api/empleados/{id}</t>
        </is>
      </c>
      <c r="L21" s="28" t="inlineStr">
        <is>
          <t>DashboardAdmin.tsx</t>
        </is>
      </c>
    </row>
    <row r="22">
      <c r="B22" s="12" t="inlineStr">
        <is>
          <t>HU-33</t>
        </is>
      </c>
      <c r="C22" s="26" t="inlineStr">
        <is>
          <t>Creación y Apertura de Nuevos Torneos</t>
        </is>
      </c>
      <c r="D22" s="10" t="inlineStr">
        <is>
          <t>Torneos</t>
        </is>
      </c>
      <c r="E22" s="10" t="inlineStr">
        <is>
          <t>Alta</t>
        </is>
      </c>
      <c r="F22" s="10" t="n">
        <v>5</v>
      </c>
      <c r="G22" s="10" t="inlineStr">
        <is>
          <t>Sprint 3</t>
        </is>
      </c>
      <c r="H22" s="27" t="inlineStr">
        <is>
          <t>Completado</t>
        </is>
      </c>
      <c r="I22" s="12" t="inlineStr">
        <is>
          <t>100%</t>
        </is>
      </c>
      <c r="J22" s="26" t="inlineStr">
        <is>
          <t>Como administrador, quiero crear torneos definiendo cancha sede, fechas, premio garantizado, valor y cupo máximo.</t>
        </is>
      </c>
      <c r="K22" s="26" t="inlineStr">
        <is>
          <t>POST /api/torneos/</t>
        </is>
      </c>
      <c r="L22" s="26" t="inlineStr">
        <is>
          <t>DashboardAdmin.tsx</t>
        </is>
      </c>
    </row>
    <row r="23">
      <c r="B23" s="16" t="inlineStr">
        <is>
          <t>HU-34</t>
        </is>
      </c>
      <c r="C23" s="28" t="inlineStr">
        <is>
          <t>Control de Acceso y Protección de Rutas RBAC</t>
        </is>
      </c>
      <c r="D23" s="14" t="inlineStr">
        <is>
          <t>Seguridad</t>
        </is>
      </c>
      <c r="E23" s="14" t="inlineStr">
        <is>
          <t>Alta</t>
        </is>
      </c>
      <c r="F23" s="14" t="n">
        <v>5</v>
      </c>
      <c r="G23" s="14" t="inlineStr">
        <is>
          <t>Sprint 1</t>
        </is>
      </c>
      <c r="H23" s="27" t="inlineStr">
        <is>
          <t>Completado</t>
        </is>
      </c>
      <c r="I23" s="16" t="inlineStr">
        <is>
          <t>100%</t>
        </is>
      </c>
      <c r="J23" s="28" t="inlineStr">
        <is>
          <t>Como sistema, quiero bloquear el acceso al panel administrativo a usuarios no autenticados o con rol cliente (403 Forbidden).</t>
        </is>
      </c>
      <c r="K23" s="28" t="inlineStr">
        <is>
          <t>Middleware Auth JWT</t>
        </is>
      </c>
      <c r="L23" s="28" t="inlineStr">
        <is>
          <t>DashboardAdmin.tsx</t>
        </is>
      </c>
    </row>
    <row r="24">
      <c r="B24" s="12" t="inlineStr">
        <is>
          <t>HU-35</t>
        </is>
      </c>
      <c r="C24" s="26" t="inlineStr">
        <is>
          <t>Generador Automático de Cuadro de Llaves (Brackets)</t>
        </is>
      </c>
      <c r="D24" s="10" t="inlineStr">
        <is>
          <t>Torneos</t>
        </is>
      </c>
      <c r="E24" s="10" t="inlineStr">
        <is>
          <t>Media</t>
        </is>
      </c>
      <c r="F24" s="10" t="n">
        <v>5</v>
      </c>
      <c r="G24" s="10" t="inlineStr">
        <is>
          <t>Sprint 4</t>
        </is>
      </c>
      <c r="H24" s="29" t="inlineStr">
        <is>
          <t>En Progreso</t>
        </is>
      </c>
      <c r="I24" s="12" t="inlineStr">
        <is>
          <t>0%</t>
        </is>
      </c>
      <c r="J24" s="26" t="inlineStr">
        <is>
          <t>Como administrador, quiero que el sistema sortee y arme el cuadro de octavos y cuartos de final automáticamente.</t>
        </is>
      </c>
      <c r="K24" s="26" t="inlineStr">
        <is>
          <t>Algoritmo Torneos</t>
        </is>
      </c>
      <c r="L24" s="26" t="inlineStr">
        <is>
          <t>BracketsTorneo.tsx</t>
        </is>
      </c>
    </row>
    <row r="25">
      <c r="B25" s="16" t="inlineStr">
        <is>
          <t>HU-36</t>
        </is>
      </c>
      <c r="C25" s="28" t="inlineStr">
        <is>
          <t>Lector y Validador de Códigos QR en Portería</t>
        </is>
      </c>
      <c r="D25" s="14" t="inlineStr">
        <is>
          <t>Seguridad</t>
        </is>
      </c>
      <c r="E25" s="14" t="inlineStr">
        <is>
          <t>Media</t>
        </is>
      </c>
      <c r="F25" s="14" t="n">
        <v>5</v>
      </c>
      <c r="G25" s="14" t="inlineStr">
        <is>
          <t>Sprint 4</t>
        </is>
      </c>
      <c r="H25" s="29" t="inlineStr">
        <is>
          <t>En Progreso</t>
        </is>
      </c>
      <c r="I25" s="16" t="inlineStr">
        <is>
          <t>0%</t>
        </is>
      </c>
      <c r="J25" s="28" t="inlineStr">
        <is>
          <t>Como recepcionista o portero, quiero escanear el QR del tiquete del cliente para validar el ingreso a la cancha.</t>
        </is>
      </c>
      <c r="K25" s="28" t="inlineStr">
        <is>
          <t>Escáner Cámara Web</t>
        </is>
      </c>
      <c r="L25" s="28" t="inlineStr">
        <is>
          <t>ValidadorQR.tsx</t>
        </is>
      </c>
    </row>
    <row r="26">
      <c r="B26" s="12" t="inlineStr">
        <is>
          <t>HU-37</t>
        </is>
      </c>
      <c r="C26" s="26" t="inlineStr">
        <is>
          <t>Despliegue Continuo en Servidores Cloud (CI/CD)</t>
        </is>
      </c>
      <c r="D26" s="10" t="inlineStr">
        <is>
          <t>DevOps</t>
        </is>
      </c>
      <c r="E26" s="10" t="inlineStr">
        <is>
          <t>Alta</t>
        </is>
      </c>
      <c r="F26" s="10" t="n">
        <v>8</v>
      </c>
      <c r="G26" s="10" t="inlineStr">
        <is>
          <t>Sprint 4</t>
        </is>
      </c>
      <c r="H26" s="29" t="inlineStr">
        <is>
          <t>En Progreso</t>
        </is>
      </c>
      <c r="I26" s="12" t="inlineStr">
        <is>
          <t>0%</t>
        </is>
      </c>
      <c r="J26" s="26" t="inlineStr">
        <is>
          <t>Como equipo de desarrollo, quiero configurar pipelines de CI/CD para despliegue automático en la nube con dominio .com.</t>
        </is>
      </c>
      <c r="K26" s="26" t="inlineStr">
        <is>
          <t>GitHub Actions / Docker</t>
        </is>
      </c>
      <c r="L26" s="26" t="inlineStr">
        <is>
          <t>Dockerfile</t>
        </is>
      </c>
    </row>
    <row r="27">
      <c r="B27" s="16" t="inlineStr">
        <is>
          <t>HU-38</t>
        </is>
      </c>
      <c r="C27" s="28" t="inlineStr">
        <is>
          <t>Módulo de Auditoría y Registro de Logs de Cambios</t>
        </is>
      </c>
      <c r="D27" s="14" t="inlineStr">
        <is>
          <t>Seguridad</t>
        </is>
      </c>
      <c r="E27" s="14" t="inlineStr">
        <is>
          <t>Baja</t>
        </is>
      </c>
      <c r="F27" s="14" t="n">
        <v>3</v>
      </c>
      <c r="G27" s="14" t="inlineStr">
        <is>
          <t>Sprint 4</t>
        </is>
      </c>
      <c r="H27" s="29" t="inlineStr">
        <is>
          <t>En Progreso</t>
        </is>
      </c>
      <c r="I27" s="16" t="inlineStr">
        <is>
          <t>0%</t>
        </is>
      </c>
      <c r="J27" s="28" t="inlineStr">
        <is>
          <t>Como administrador general, quiero ver qué empleado modificó una tarifa o canceló una reserva con fecha y hora.</t>
        </is>
      </c>
      <c r="K27" s="28" t="inlineStr">
        <is>
          <t>Tabla Auditoria DB</t>
        </is>
      </c>
      <c r="L27" s="28" t="inlineStr">
        <is>
          <t>LogsAuditoria.tsx</t>
        </is>
      </c>
    </row>
  </sheetData>
  <mergeCells count="1">
    <mergeCell ref="B2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7" customWidth="1" min="4" max="4"/>
    <col width="18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48" customWidth="1" min="11" max="11"/>
    <col width="40" customWidth="1" min="12" max="12"/>
    <col width="30" customWidth="1" min="13" max="13"/>
  </cols>
  <sheetData>
    <row r="1"/>
    <row r="2">
      <c r="B2" s="32" t="inlineStr">
        <is>
          <t>📋 MATRIZ GENERAL DE HISTORIAS DE USUARIO — AVANCE 75.0% (SENA ADSO III)</t>
        </is>
      </c>
    </row>
    <row r="3"/>
    <row r="4">
      <c r="B4" s="22" t="inlineStr">
        <is>
          <t>Total HUs:</t>
        </is>
      </c>
      <c r="C4" s="23">
        <f>COUNTA(B10:B47)</f>
        <v/>
      </c>
      <c r="D4" s="22" t="inlineStr">
        <is>
          <t>% Avance Global:</t>
        </is>
      </c>
      <c r="E4" s="24">
        <f>COUNTIF(I10:I47, "Completado")/C4</f>
        <v/>
      </c>
      <c r="F4" s="22" t="inlineStr">
        <is>
          <t>Puntos Totales:</t>
        </is>
      </c>
      <c r="G4" s="23">
        <f>SUM(G10:G47)</f>
        <v/>
      </c>
      <c r="H4" s="22" t="inlineStr">
        <is>
          <t>Puntos Listos:</t>
        </is>
      </c>
      <c r="I4" s="23">
        <f>SUMIF(I10:I47, "Completado", G10:G47)</f>
        <v/>
      </c>
    </row>
    <row r="5"/>
    <row r="6"/>
    <row r="7"/>
    <row r="8"/>
    <row r="9">
      <c r="B9" s="8" t="inlineStr">
        <is>
          <t>ID</t>
        </is>
      </c>
      <c r="C9" s="8" t="inlineStr">
        <is>
          <t>Título de la Historia</t>
        </is>
      </c>
      <c r="D9" s="8" t="inlineStr">
        <is>
          <t>Rol Asignado</t>
        </is>
      </c>
      <c r="E9" s="8" t="inlineStr">
        <is>
          <t>Módulo</t>
        </is>
      </c>
      <c r="F9" s="8" t="inlineStr">
        <is>
          <t>Prioridad</t>
        </is>
      </c>
      <c r="G9" s="8" t="inlineStr">
        <is>
          <t>Puntos</t>
        </is>
      </c>
      <c r="H9" s="8" t="inlineStr">
        <is>
          <t>Sprint</t>
        </is>
      </c>
      <c r="I9" s="8" t="inlineStr">
        <is>
          <t>Estado</t>
        </is>
      </c>
      <c r="J9" s="8" t="inlineStr">
        <is>
          <t>% Avance</t>
        </is>
      </c>
      <c r="K9" s="8" t="inlineStr">
        <is>
          <t>Descripción de la Historia</t>
        </is>
      </c>
      <c r="L9" s="8" t="inlineStr">
        <is>
          <t>Endpoint API Backend</t>
        </is>
      </c>
      <c r="M9" s="8" t="inlineStr">
        <is>
          <t>Componente Frontend</t>
        </is>
      </c>
    </row>
    <row r="10">
      <c r="B10" s="12" t="inlineStr">
        <is>
          <t>HU-01</t>
        </is>
      </c>
      <c r="C10" s="26" t="inlineStr">
        <is>
          <t>Registro de Cuenta de Cliente</t>
        </is>
      </c>
      <c r="D10" s="33" t="inlineStr">
        <is>
          <t>Cliente</t>
        </is>
      </c>
      <c r="E10" s="10" t="inlineStr">
        <is>
          <t>Autenticación</t>
        </is>
      </c>
      <c r="F10" s="10" t="inlineStr">
        <is>
          <t>Alta</t>
        </is>
      </c>
      <c r="G10" s="10" t="n">
        <v>5</v>
      </c>
      <c r="H10" s="10" t="inlineStr">
        <is>
          <t>Sprint 1</t>
        </is>
      </c>
      <c r="I10" s="27" t="inlineStr">
        <is>
          <t>Completado</t>
        </is>
      </c>
      <c r="J10" s="12" t="inlineStr">
        <is>
          <t>100%</t>
        </is>
      </c>
      <c r="K10" s="26" t="inlineStr">
        <is>
          <t>Como visitante, quiero registrar mis datos con nombre, correo y clave, para tener una cuenta y reservar canchas.</t>
        </is>
      </c>
      <c r="L10" s="26" t="inlineStr">
        <is>
          <t>POST /api/usuarios/registro</t>
        </is>
      </c>
      <c r="M10" s="26" t="inlineStr">
        <is>
          <t>LoginModal.tsx</t>
        </is>
      </c>
    </row>
    <row r="11">
      <c r="B11" s="16" t="inlineStr">
        <is>
          <t>HU-02</t>
        </is>
      </c>
      <c r="C11" s="28" t="inlineStr">
        <is>
          <t>Inicio de Sesión con JWT</t>
        </is>
      </c>
      <c r="D11" s="34" t="inlineStr">
        <is>
          <t>Cliente</t>
        </is>
      </c>
      <c r="E11" s="14" t="inlineStr">
        <is>
          <t>Seguridad</t>
        </is>
      </c>
      <c r="F11" s="14" t="inlineStr">
        <is>
          <t>Alta</t>
        </is>
      </c>
      <c r="G11" s="14" t="n">
        <v>5</v>
      </c>
      <c r="H11" s="14" t="inlineStr">
        <is>
          <t>Sprint 1</t>
        </is>
      </c>
      <c r="I11" s="27" t="inlineStr">
        <is>
          <t>Completado</t>
        </is>
      </c>
      <c r="J11" s="16" t="inlineStr">
        <is>
          <t>100%</t>
        </is>
      </c>
      <c r="K11" s="28" t="inlineStr">
        <is>
          <t>Como cliente, quiero iniciar sesión con mi correo y contraseña, para acceder a mis reservas y perfil.</t>
        </is>
      </c>
      <c r="L11" s="28" t="inlineStr">
        <is>
          <t>POST /api/usuarios/login</t>
        </is>
      </c>
      <c r="M11" s="28" t="inlineStr">
        <is>
          <t>LoginModal.tsx</t>
        </is>
      </c>
    </row>
    <row r="12">
      <c r="B12" s="12" t="inlineStr">
        <is>
          <t>HU-03</t>
        </is>
      </c>
      <c r="C12" s="26" t="inlineStr">
        <is>
          <t>Recuperación de Contraseña con PIN Gmail</t>
        </is>
      </c>
      <c r="D12" s="33" t="inlineStr">
        <is>
          <t>Cliente</t>
        </is>
      </c>
      <c r="E12" s="10" t="inlineStr">
        <is>
          <t>Seguridad</t>
        </is>
      </c>
      <c r="F12" s="10" t="inlineStr">
        <is>
          <t>Alta</t>
        </is>
      </c>
      <c r="G12" s="10" t="n">
        <v>8</v>
      </c>
      <c r="H12" s="10" t="inlineStr">
        <is>
          <t>Sprint 1</t>
        </is>
      </c>
      <c r="I12" s="27" t="inlineStr">
        <is>
          <t>Completado</t>
        </is>
      </c>
      <c r="J12" s="12" t="inlineStr">
        <is>
          <t>100%</t>
        </is>
      </c>
      <c r="K12" s="26" t="inlineStr">
        <is>
          <t>Como cliente que olvidó su clave, quiero recibir un PIN de 6 dígitos en mi Gmail real, para restablecer mi acceso.</t>
        </is>
      </c>
      <c r="L12" s="26" t="inlineStr">
        <is>
          <t>POST /api/auth/recuperar-password/*</t>
        </is>
      </c>
      <c r="M12" s="26" t="inlineStr">
        <is>
          <t>RecuperarPasswordModal.tsx</t>
        </is>
      </c>
    </row>
    <row r="13">
      <c r="B13" s="16" t="inlineStr">
        <is>
          <t>HU-04</t>
        </is>
      </c>
      <c r="C13" s="28" t="inlineStr">
        <is>
          <t>Exploración del Catálogo de Canchas</t>
        </is>
      </c>
      <c r="D13" s="34" t="inlineStr">
        <is>
          <t>Cliente</t>
        </is>
      </c>
      <c r="E13" s="14" t="inlineStr">
        <is>
          <t>Canchas</t>
        </is>
      </c>
      <c r="F13" s="14" t="inlineStr">
        <is>
          <t>Alta</t>
        </is>
      </c>
      <c r="G13" s="14" t="n">
        <v>3</v>
      </c>
      <c r="H13" s="14" t="inlineStr">
        <is>
          <t>Sprint 2</t>
        </is>
      </c>
      <c r="I13" s="27" t="inlineStr">
        <is>
          <t>Completado</t>
        </is>
      </c>
      <c r="J13" s="16" t="inlineStr">
        <is>
          <t>100%</t>
        </is>
      </c>
      <c r="K13" s="28" t="inlineStr">
        <is>
          <t>Como cliente, quiero ver las canchas con fotos, tipo (F5, F7, F11), precios por hora y capacidad, para elegir mi cancha.</t>
        </is>
      </c>
      <c r="L13" s="28" t="inlineStr">
        <is>
          <t>GET /api/canchas/</t>
        </is>
      </c>
      <c r="M13" s="28" t="inlineStr">
        <is>
          <t>Canchas.tsx</t>
        </is>
      </c>
    </row>
    <row r="14">
      <c r="B14" s="12" t="inlineStr">
        <is>
          <t>HU-05</t>
        </is>
      </c>
      <c r="C14" s="26" t="inlineStr">
        <is>
          <t>Filtrado Rápido por Tipo de Cancha</t>
        </is>
      </c>
      <c r="D14" s="33" t="inlineStr">
        <is>
          <t>Cliente</t>
        </is>
      </c>
      <c r="E14" s="10" t="inlineStr">
        <is>
          <t>Canchas</t>
        </is>
      </c>
      <c r="F14" s="10" t="inlineStr">
        <is>
          <t>Media</t>
        </is>
      </c>
      <c r="G14" s="10" t="n">
        <v>3</v>
      </c>
      <c r="H14" s="10" t="inlineStr">
        <is>
          <t>Sprint 2</t>
        </is>
      </c>
      <c r="I14" s="27" t="inlineStr">
        <is>
          <t>Completado</t>
        </is>
      </c>
      <c r="J14" s="12" t="inlineStr">
        <is>
          <t>100%</t>
        </is>
      </c>
      <c r="K14" s="26" t="inlineStr">
        <is>
          <t>Como cliente, quiero filtrar las canchas por botones píldora (Todas, F5, F7, F11), para encontrar rápido lo que busco.</t>
        </is>
      </c>
      <c r="L14" s="26" t="inlineStr">
        <is>
          <t>GET /api/canchas/?tipo=...</t>
        </is>
      </c>
      <c r="M14" s="26" t="inlineStr">
        <is>
          <t>Canchas.tsx</t>
        </is>
      </c>
    </row>
    <row r="15">
      <c r="B15" s="16" t="inlineStr">
        <is>
          <t>HU-06</t>
        </is>
      </c>
      <c r="C15" s="28" t="inlineStr">
        <is>
          <t>Consulta de Disponibilidad en Tiempo Real</t>
        </is>
      </c>
      <c r="D15" s="34" t="inlineStr">
        <is>
          <t>Cliente</t>
        </is>
      </c>
      <c r="E15" s="14" t="inlineStr">
        <is>
          <t>Agendamiento</t>
        </is>
      </c>
      <c r="F15" s="14" t="inlineStr">
        <is>
          <t>Alta</t>
        </is>
      </c>
      <c r="G15" s="14" t="n">
        <v>5</v>
      </c>
      <c r="H15" s="14" t="inlineStr">
        <is>
          <t>Sprint 2</t>
        </is>
      </c>
      <c r="I15" s="27" t="inlineStr">
        <is>
          <t>Completado</t>
        </is>
      </c>
      <c r="J15" s="16" t="inlineStr">
        <is>
          <t>100%</t>
        </is>
      </c>
      <c r="K15" s="28" t="inlineStr">
        <is>
          <t>Como cliente, quiero seleccionar una fecha en el calendario y ver qué horas están libres vs ocupadas, para planear mi partido.</t>
        </is>
      </c>
      <c r="L15" s="28" t="inlineStr">
        <is>
          <t>GET /api/canchas/{id}/disponibilidad</t>
        </is>
      </c>
      <c r="M15" s="28" t="inlineStr">
        <is>
          <t>ReservaModal.tsx</t>
        </is>
      </c>
    </row>
    <row r="16">
      <c r="B16" s="12" t="inlineStr">
        <is>
          <t>HU-07</t>
        </is>
      </c>
      <c r="C16" s="26" t="inlineStr">
        <is>
          <t>Creación y Agendamiento de Reserva</t>
        </is>
      </c>
      <c r="D16" s="33" t="inlineStr">
        <is>
          <t>Cliente</t>
        </is>
      </c>
      <c r="E16" s="10" t="inlineStr">
        <is>
          <t>Reservas</t>
        </is>
      </c>
      <c r="F16" s="10" t="inlineStr">
        <is>
          <t>Alta</t>
        </is>
      </c>
      <c r="G16" s="10" t="n">
        <v>8</v>
      </c>
      <c r="H16" s="10" t="inlineStr">
        <is>
          <t>Sprint 2</t>
        </is>
      </c>
      <c r="I16" s="27" t="inlineStr">
        <is>
          <t>Completado</t>
        </is>
      </c>
      <c r="J16" s="12" t="inlineStr">
        <is>
          <t>100%</t>
        </is>
      </c>
      <c r="K16" s="26" t="inlineStr">
        <is>
          <t>Como cliente autenticado, quiero seleccionar la cancha, fecha y horas, para apartar mi turno sin solapamientos.</t>
        </is>
      </c>
      <c r="L16" s="26" t="inlineStr">
        <is>
          <t>POST /api/reservas/</t>
        </is>
      </c>
      <c r="M16" s="26" t="inlineStr">
        <is>
          <t>ReservaModal.tsx</t>
        </is>
      </c>
    </row>
    <row r="17">
      <c r="B17" s="16" t="inlineStr">
        <is>
          <t>HU-08</t>
        </is>
      </c>
      <c r="C17" s="28" t="inlineStr">
        <is>
          <t>Cálculo Automático de Tarifas</t>
        </is>
      </c>
      <c r="D17" s="34" t="inlineStr">
        <is>
          <t>Cliente</t>
        </is>
      </c>
      <c r="E17" s="14" t="inlineStr">
        <is>
          <t>Reservas</t>
        </is>
      </c>
      <c r="F17" s="14" t="inlineStr">
        <is>
          <t>Media</t>
        </is>
      </c>
      <c r="G17" s="14" t="n">
        <v>3</v>
      </c>
      <c r="H17" s="14" t="inlineStr">
        <is>
          <t>Sprint 2</t>
        </is>
      </c>
      <c r="I17" s="27" t="inlineStr">
        <is>
          <t>Completado</t>
        </is>
      </c>
      <c r="J17" s="16" t="inlineStr">
        <is>
          <t>100%</t>
        </is>
      </c>
      <c r="K17" s="28" t="inlineStr">
        <is>
          <t>Como cliente, quiero que el sistema calcule el costo según las horas y precio de la cancha, para saber el valor exacto.</t>
        </is>
      </c>
      <c r="L17" s="28" t="inlineStr">
        <is>
          <t>GET /api/canchas/{id}</t>
        </is>
      </c>
      <c r="M17" s="28" t="inlineStr">
        <is>
          <t>ReservaModal.tsx</t>
        </is>
      </c>
    </row>
    <row r="18">
      <c r="B18" s="12" t="inlineStr">
        <is>
          <t>HU-09</t>
        </is>
      </c>
      <c r="C18" s="26" t="inlineStr">
        <is>
          <t>Panel 'Mis Reservas' del Cliente</t>
        </is>
      </c>
      <c r="D18" s="33" t="inlineStr">
        <is>
          <t>Cliente</t>
        </is>
      </c>
      <c r="E18" s="10" t="inlineStr">
        <is>
          <t>Reservas</t>
        </is>
      </c>
      <c r="F18" s="10" t="inlineStr">
        <is>
          <t>Alta</t>
        </is>
      </c>
      <c r="G18" s="10" t="n">
        <v>5</v>
      </c>
      <c r="H18" s="10" t="inlineStr">
        <is>
          <t>Sprint 3</t>
        </is>
      </c>
      <c r="I18" s="27" t="inlineStr">
        <is>
          <t>Completado</t>
        </is>
      </c>
      <c r="J18" s="12" t="inlineStr">
        <is>
          <t>100%</t>
        </is>
      </c>
      <c r="K18" s="26" t="inlineStr">
        <is>
          <t>Como cliente, quiero ver la lista de mis partidos reservados con fecha, hora y estado, para llevar el control de mi agenda.</t>
        </is>
      </c>
      <c r="L18" s="26" t="inlineStr">
        <is>
          <t>GET /api/reservas/mis-reservas</t>
        </is>
      </c>
      <c r="M18" s="26" t="inlineStr">
        <is>
          <t>DashboardCliente.tsx</t>
        </is>
      </c>
    </row>
    <row r="19">
      <c r="B19" s="16" t="inlineStr">
        <is>
          <t>HU-10</t>
        </is>
      </c>
      <c r="C19" s="28" t="inlineStr">
        <is>
          <t>Cancelación de Turnos por el Cliente</t>
        </is>
      </c>
      <c r="D19" s="34" t="inlineStr">
        <is>
          <t>Cliente</t>
        </is>
      </c>
      <c r="E19" s="14" t="inlineStr">
        <is>
          <t>Reservas</t>
        </is>
      </c>
      <c r="F19" s="14" t="inlineStr">
        <is>
          <t>Media</t>
        </is>
      </c>
      <c r="G19" s="14" t="n">
        <v>5</v>
      </c>
      <c r="H19" s="14" t="inlineStr">
        <is>
          <t>Sprint 3</t>
        </is>
      </c>
      <c r="I19" s="27" t="inlineStr">
        <is>
          <t>Completado</t>
        </is>
      </c>
      <c r="J19" s="16" t="inlineStr">
        <is>
          <t>100%</t>
        </is>
      </c>
      <c r="K19" s="28" t="inlineStr">
        <is>
          <t>Como cliente, quiero cancelar una reserva que no pueda asistir, para liberar el horario a otros jugadores.</t>
        </is>
      </c>
      <c r="L19" s="28" t="inlineStr">
        <is>
          <t>DELETE /api/reservas/{id}</t>
        </is>
      </c>
      <c r="M19" s="28" t="inlineStr">
        <is>
          <t>DashboardCliente.tsx</t>
        </is>
      </c>
    </row>
    <row r="20">
      <c r="B20" s="12" t="inlineStr">
        <is>
          <t>HU-11</t>
        </is>
      </c>
      <c r="C20" s="26" t="inlineStr">
        <is>
          <t>Visualización de Torneos Disponibles</t>
        </is>
      </c>
      <c r="D20" s="33" t="inlineStr">
        <is>
          <t>Cliente</t>
        </is>
      </c>
      <c r="E20" s="10" t="inlineStr">
        <is>
          <t>Torneos</t>
        </is>
      </c>
      <c r="F20" s="10" t="inlineStr">
        <is>
          <t>Media</t>
        </is>
      </c>
      <c r="G20" s="10" t="n">
        <v>5</v>
      </c>
      <c r="H20" s="10" t="inlineStr">
        <is>
          <t>Sprint 3</t>
        </is>
      </c>
      <c r="I20" s="27" t="inlineStr">
        <is>
          <t>Completado</t>
        </is>
      </c>
      <c r="J20" s="12" t="inlineStr">
        <is>
          <t>100%</t>
        </is>
      </c>
      <c r="K20" s="26" t="inlineStr">
        <is>
          <t>Como cliente, quiero ver los torneos de la sede, categorías, fechas y premios, para enterarme de los campeonatos.</t>
        </is>
      </c>
      <c r="L20" s="26" t="inlineStr">
        <is>
          <t>GET /api/torneos/</t>
        </is>
      </c>
      <c r="M20" s="26" t="inlineStr">
        <is>
          <t>Torneos.tsx</t>
        </is>
      </c>
    </row>
    <row r="21">
      <c r="B21" s="16" t="inlineStr">
        <is>
          <t>HU-12</t>
        </is>
      </c>
      <c r="C21" s="28" t="inlineStr">
        <is>
          <t>Inscripción de Equipo a Torneos</t>
        </is>
      </c>
      <c r="D21" s="34" t="inlineStr">
        <is>
          <t>Cliente</t>
        </is>
      </c>
      <c r="E21" s="14" t="inlineStr">
        <is>
          <t>Torneos</t>
        </is>
      </c>
      <c r="F21" s="14" t="inlineStr">
        <is>
          <t>Media</t>
        </is>
      </c>
      <c r="G21" s="14" t="n">
        <v>5</v>
      </c>
      <c r="H21" s="14" t="inlineStr">
        <is>
          <t>Sprint 3</t>
        </is>
      </c>
      <c r="I21" s="27" t="inlineStr">
        <is>
          <t>Completado</t>
        </is>
      </c>
      <c r="J21" s="16" t="inlineStr">
        <is>
          <t>100%</t>
        </is>
      </c>
      <c r="K21" s="28" t="inlineStr">
        <is>
          <t>Como capitán de equipo, quiero inscribir mi equipo en un torneo abierto, para competir por el trofeo y premio.</t>
        </is>
      </c>
      <c r="L21" s="28" t="inlineStr">
        <is>
          <t>POST /api/torneos/{id}/inscribir</t>
        </is>
      </c>
      <c r="M21" s="28" t="inlineStr">
        <is>
          <t>Torneos.tsx</t>
        </is>
      </c>
    </row>
    <row r="22">
      <c r="B22" s="12" t="inlineStr">
        <is>
          <t>HU-13</t>
        </is>
      </c>
      <c r="C22" s="26" t="inlineStr">
        <is>
          <t>Dock Lateral: Modo Oscuro y Modo Claro</t>
        </is>
      </c>
      <c r="D22" s="33" t="inlineStr">
        <is>
          <t>Cliente</t>
        </is>
      </c>
      <c r="E22" s="10" t="inlineStr">
        <is>
          <t>UI / UX</t>
        </is>
      </c>
      <c r="F22" s="10" t="inlineStr">
        <is>
          <t>Alta</t>
        </is>
      </c>
      <c r="G22" s="10" t="n">
        <v>5</v>
      </c>
      <c r="H22" s="10" t="inlineStr">
        <is>
          <t>Sprint 4</t>
        </is>
      </c>
      <c r="I22" s="27" t="inlineStr">
        <is>
          <t>Completado</t>
        </is>
      </c>
      <c r="J22" s="12" t="inlineStr">
        <is>
          <t>100%</t>
        </is>
      </c>
      <c r="K22" s="26" t="inlineStr">
        <is>
          <t>Como usuario, quiero alternar entre tema oscuro y claro desde un botón elegante a la derecha, para cuidar mi vista.</t>
        </is>
      </c>
      <c r="L22" s="26" t="inlineStr">
        <is>
          <t>Client-side Theme</t>
        </is>
      </c>
      <c r="M22" s="26" t="inlineStr">
        <is>
          <t>ThemeJoystick.tsx</t>
        </is>
      </c>
    </row>
    <row r="23">
      <c r="B23" s="16" t="inlineStr">
        <is>
          <t>HU-14</t>
        </is>
      </c>
      <c r="C23" s="28" t="inlineStr">
        <is>
          <t>Dock Lateral: Modo Celular Interactivo</t>
        </is>
      </c>
      <c r="D23" s="34" t="inlineStr">
        <is>
          <t>Cliente</t>
        </is>
      </c>
      <c r="E23" s="14" t="inlineStr">
        <is>
          <t>UI / UX</t>
        </is>
      </c>
      <c r="F23" s="14" t="inlineStr">
        <is>
          <t>Alta</t>
        </is>
      </c>
      <c r="G23" s="14" t="n">
        <v>5</v>
      </c>
      <c r="H23" s="14" t="inlineStr">
        <is>
          <t>Sprint 4</t>
        </is>
      </c>
      <c r="I23" s="27" t="inlineStr">
        <is>
          <t>Completado</t>
        </is>
      </c>
      <c r="J23" s="16" t="inlineStr">
        <is>
          <t>100%</t>
        </is>
      </c>
      <c r="K23" s="28" t="inlineStr">
        <is>
          <t>Como usuario o evaluador, quiero simular la vista en un marco de smartphone con dynamic island, para probar responsividad.</t>
        </is>
      </c>
      <c r="L23" s="28" t="inlineStr">
        <is>
          <t>Client-side Viewport</t>
        </is>
      </c>
      <c r="M23" s="28" t="inlineStr">
        <is>
          <t>ThemeJoystick.tsx</t>
        </is>
      </c>
    </row>
    <row r="24">
      <c r="B24" s="12" t="inlineStr">
        <is>
          <t>HU-15</t>
        </is>
      </c>
      <c r="C24" s="26" t="inlineStr">
        <is>
          <t>Dock Lateral: Modo Computador (PC)</t>
        </is>
      </c>
      <c r="D24" s="33" t="inlineStr">
        <is>
          <t>Cliente</t>
        </is>
      </c>
      <c r="E24" s="10" t="inlineStr">
        <is>
          <t>UI / UX</t>
        </is>
      </c>
      <c r="F24" s="10" t="inlineStr">
        <is>
          <t>Alta</t>
        </is>
      </c>
      <c r="G24" s="10" t="n">
        <v>3</v>
      </c>
      <c r="H24" s="10" t="inlineStr">
        <is>
          <t>Sprint 4</t>
        </is>
      </c>
      <c r="I24" s="27" t="inlineStr">
        <is>
          <t>Completado</t>
        </is>
      </c>
      <c r="J24" s="12" t="inlineStr">
        <is>
          <t>100%</t>
        </is>
      </c>
      <c r="K24" s="26" t="inlineStr">
        <is>
          <t>Como usuario de escritorio, quiero regresar a la vista panorámica de PC con un clic, para ver todo el contenido.</t>
        </is>
      </c>
      <c r="L24" s="26" t="inlineStr">
        <is>
          <t>Client-side Viewport</t>
        </is>
      </c>
      <c r="M24" s="26" t="inlineStr">
        <is>
          <t>ThemeJoystick.tsx</t>
        </is>
      </c>
    </row>
    <row r="25">
      <c r="B25" s="16" t="inlineStr">
        <is>
          <t>HU-16</t>
        </is>
      </c>
      <c r="C25" s="28" t="inlineStr">
        <is>
          <t>Pasarela de Pagos Online PSE / Wompi</t>
        </is>
      </c>
      <c r="D25" s="34" t="inlineStr">
        <is>
          <t>Cliente</t>
        </is>
      </c>
      <c r="E25" s="14" t="inlineStr">
        <is>
          <t>Pagos</t>
        </is>
      </c>
      <c r="F25" s="14" t="inlineStr">
        <is>
          <t>Alta</t>
        </is>
      </c>
      <c r="G25" s="14" t="n">
        <v>8</v>
      </c>
      <c r="H25" s="14" t="inlineStr">
        <is>
          <t>Sprint 4</t>
        </is>
      </c>
      <c r="I25" s="29" t="inlineStr">
        <is>
          <t>En Progreso</t>
        </is>
      </c>
      <c r="J25" s="16" t="inlineStr">
        <is>
          <t>0%</t>
        </is>
      </c>
      <c r="K25" s="28" t="inlineStr">
        <is>
          <t>Como cliente, quiero pagar mi reserva en línea con tarjeta débito/crédito o PSE en pasarela bancaria en vivo.</t>
        </is>
      </c>
      <c r="L25" s="28" t="inlineStr">
        <is>
          <t>Integración Pasarela API</t>
        </is>
      </c>
      <c r="M25" s="28" t="inlineStr">
        <is>
          <t>PasarelaPago.tsx</t>
        </is>
      </c>
    </row>
    <row r="26">
      <c r="B26" s="12" t="inlineStr">
        <is>
          <t>HU-17</t>
        </is>
      </c>
      <c r="C26" s="26" t="inlineStr">
        <is>
          <t>Descarga de Comprobante PDF con Código QR</t>
        </is>
      </c>
      <c r="D26" s="33" t="inlineStr">
        <is>
          <t>Cliente</t>
        </is>
      </c>
      <c r="E26" s="10" t="inlineStr">
        <is>
          <t>Comprobantes</t>
        </is>
      </c>
      <c r="F26" s="10" t="inlineStr">
        <is>
          <t>Media</t>
        </is>
      </c>
      <c r="G26" s="10" t="n">
        <v>5</v>
      </c>
      <c r="H26" s="10" t="inlineStr">
        <is>
          <t>Sprint 4</t>
        </is>
      </c>
      <c r="I26" s="29" t="inlineStr">
        <is>
          <t>En Progreso</t>
        </is>
      </c>
      <c r="J26" s="12" t="inlineStr">
        <is>
          <t>0%</t>
        </is>
      </c>
      <c r="K26" s="26" t="inlineStr">
        <is>
          <t>Como cliente con reserva confirmada, quiero descargar un tiquete en PDF con código QR para mostrar en recepción.</t>
        </is>
      </c>
      <c r="L26" s="26" t="inlineStr">
        <is>
          <t>Generador PDF Backend</t>
        </is>
      </c>
      <c r="M26" s="26" t="inlineStr">
        <is>
          <t>ComprobanteReserva.tsx</t>
        </is>
      </c>
    </row>
    <row r="27">
      <c r="B27" s="16" t="inlineStr">
        <is>
          <t>HU-18</t>
        </is>
      </c>
      <c r="C27" s="28" t="inlineStr">
        <is>
          <t>Notificaciones de Recordatorio por SMS / WhatsApp</t>
        </is>
      </c>
      <c r="D27" s="34" t="inlineStr">
        <is>
          <t>Cliente</t>
        </is>
      </c>
      <c r="E27" s="14" t="inlineStr">
        <is>
          <t>Notificaciones</t>
        </is>
      </c>
      <c r="F27" s="14" t="inlineStr">
        <is>
          <t>Baja</t>
        </is>
      </c>
      <c r="G27" s="14" t="n">
        <v>3</v>
      </c>
      <c r="H27" s="14" t="inlineStr">
        <is>
          <t>Sprint 4</t>
        </is>
      </c>
      <c r="I27" s="29" t="inlineStr">
        <is>
          <t>En Progreso</t>
        </is>
      </c>
      <c r="J27" s="16" t="inlineStr">
        <is>
          <t>0%</t>
        </is>
      </c>
      <c r="K27" s="28" t="inlineStr">
        <is>
          <t>Como cliente, quiero recibir un mensaje de recordatorio 2 horas antes de mi partido programado.</t>
        </is>
      </c>
      <c r="L27" s="28" t="inlineStr">
        <is>
          <t>Twilio / Meta API</t>
        </is>
      </c>
      <c r="M27" s="28" t="inlineStr">
        <is>
          <t>ServicioRecordatorios.py</t>
        </is>
      </c>
    </row>
    <row r="28">
      <c r="B28" s="12" t="inlineStr">
        <is>
          <t>HU-19</t>
        </is>
      </c>
      <c r="C28" s="26" t="inlineStr">
        <is>
          <t>Sistema de Puntos y Fidelización de Jugadores</t>
        </is>
      </c>
      <c r="D28" s="33" t="inlineStr">
        <is>
          <t>Cliente</t>
        </is>
      </c>
      <c r="E28" s="10" t="inlineStr">
        <is>
          <t>Fidelización</t>
        </is>
      </c>
      <c r="F28" s="10" t="inlineStr">
        <is>
          <t>Baja</t>
        </is>
      </c>
      <c r="G28" s="10" t="n">
        <v>5</v>
      </c>
      <c r="H28" s="10" t="inlineStr">
        <is>
          <t>Sprint 4</t>
        </is>
      </c>
      <c r="I28" s="29" t="inlineStr">
        <is>
          <t>En Progreso</t>
        </is>
      </c>
      <c r="J28" s="12" t="inlineStr">
        <is>
          <t>0%</t>
        </is>
      </c>
      <c r="K28" s="26" t="inlineStr">
        <is>
          <t>Como cliente frecuente, quiero acumular puntos por cada hora jugada para canjear por horas gratis.</t>
        </is>
      </c>
      <c r="L28" s="26" t="inlineStr">
        <is>
          <t>Módulo Puntos DB</t>
        </is>
      </c>
      <c r="M28" s="26" t="inlineStr">
        <is>
          <t>PuntosCliente.tsx</t>
        </is>
      </c>
    </row>
    <row r="29">
      <c r="B29" s="16" t="inlineStr">
        <is>
          <t>HU-20</t>
        </is>
      </c>
      <c r="C29" s="28" t="inlineStr">
        <is>
          <t>Sincronización con Google Calendar</t>
        </is>
      </c>
      <c r="D29" s="34" t="inlineStr">
        <is>
          <t>Cliente</t>
        </is>
      </c>
      <c r="E29" s="14" t="inlineStr">
        <is>
          <t>Integraciones</t>
        </is>
      </c>
      <c r="F29" s="14" t="inlineStr">
        <is>
          <t>Baja</t>
        </is>
      </c>
      <c r="G29" s="14" t="n">
        <v>3</v>
      </c>
      <c r="H29" s="14" t="inlineStr">
        <is>
          <t>Sprint 4</t>
        </is>
      </c>
      <c r="I29" s="29" t="inlineStr">
        <is>
          <t>En Progreso</t>
        </is>
      </c>
      <c r="J29" s="16" t="inlineStr">
        <is>
          <t>0%</t>
        </is>
      </c>
      <c r="K29" s="28" t="inlineStr">
        <is>
          <t>Como cliente, quiero un botón para añadir automáticamente el partido agendado a mi calendario de Google.</t>
        </is>
      </c>
      <c r="L29" s="28" t="inlineStr">
        <is>
          <t>Google Calendar API</t>
        </is>
      </c>
      <c r="M29" s="28" t="inlineStr">
        <is>
          <t>BotonCalendar.tsx</t>
        </is>
      </c>
    </row>
    <row r="30">
      <c r="B30" s="12" t="inlineStr">
        <is>
          <t>HU-21</t>
        </is>
      </c>
      <c r="C30" s="26" t="inlineStr">
        <is>
          <t>Panel de Control Principal (Dashboard Admin)</t>
        </is>
      </c>
      <c r="D30" s="35" t="inlineStr">
        <is>
          <t>Administrador</t>
        </is>
      </c>
      <c r="E30" s="10" t="inlineStr">
        <is>
          <t>Administración</t>
        </is>
      </c>
      <c r="F30" s="10" t="inlineStr">
        <is>
          <t>Alta</t>
        </is>
      </c>
      <c r="G30" s="10" t="n">
        <v>8</v>
      </c>
      <c r="H30" s="10" t="inlineStr">
        <is>
          <t>Sprint 1</t>
        </is>
      </c>
      <c r="I30" s="27" t="inlineStr">
        <is>
          <t>Completado</t>
        </is>
      </c>
      <c r="J30" s="12" t="inlineStr">
        <is>
          <t>100%</t>
        </is>
      </c>
      <c r="K30" s="26" t="inlineStr">
        <is>
          <t>Como administrador, quiero ver el resumen global de reservas, ingresos totales, usuarios y canchas activas en un panel.</t>
        </is>
      </c>
      <c r="L30" s="26" t="inlineStr">
        <is>
          <t>GET /api/reportes/resumen</t>
        </is>
      </c>
      <c r="M30" s="26" t="inlineStr">
        <is>
          <t>DashboardAdmin.tsx</t>
        </is>
      </c>
    </row>
    <row r="31">
      <c r="B31" s="16" t="inlineStr">
        <is>
          <t>HU-22</t>
        </is>
      </c>
      <c r="C31" s="28" t="inlineStr">
        <is>
          <t>Métricas Financieras e Ingresos en Tiempo Real</t>
        </is>
      </c>
      <c r="D31" s="36" t="inlineStr">
        <is>
          <t>Administrador</t>
        </is>
      </c>
      <c r="E31" s="14" t="inlineStr">
        <is>
          <t>Reportes</t>
        </is>
      </c>
      <c r="F31" s="14" t="inlineStr">
        <is>
          <t>Alta</t>
        </is>
      </c>
      <c r="G31" s="14" t="n">
        <v>5</v>
      </c>
      <c r="H31" s="14" t="inlineStr">
        <is>
          <t>Sprint 1</t>
        </is>
      </c>
      <c r="I31" s="27" t="inlineStr">
        <is>
          <t>Completado</t>
        </is>
      </c>
      <c r="J31" s="16" t="inlineStr">
        <is>
          <t>100%</t>
        </is>
      </c>
      <c r="K31" s="28" t="inlineStr">
        <is>
          <t>Como administrador, quiero consultar el dinero recaudado en el mes y proyecciones, para evaluar la rentabilidad.</t>
        </is>
      </c>
      <c r="L31" s="28" t="inlineStr">
        <is>
          <t>GET /api/reportes/resumen</t>
        </is>
      </c>
      <c r="M31" s="28" t="inlineStr">
        <is>
          <t>DashboardAdmin.tsx</t>
        </is>
      </c>
    </row>
    <row r="32">
      <c r="B32" s="12" t="inlineStr">
        <is>
          <t>HU-23</t>
        </is>
      </c>
      <c r="C32" s="26" t="inlineStr">
        <is>
          <t>Exportación de Reportes a Excel (.xlsx / .csv)</t>
        </is>
      </c>
      <c r="D32" s="35" t="inlineStr">
        <is>
          <t>Administrador</t>
        </is>
      </c>
      <c r="E32" s="10" t="inlineStr">
        <is>
          <t>Reportes</t>
        </is>
      </c>
      <c r="F32" s="10" t="inlineStr">
        <is>
          <t>Alta</t>
        </is>
      </c>
      <c r="G32" s="10" t="n">
        <v>5</v>
      </c>
      <c r="H32" s="10" t="inlineStr">
        <is>
          <t>Sprint 2</t>
        </is>
      </c>
      <c r="I32" s="27" t="inlineStr">
        <is>
          <t>Completado</t>
        </is>
      </c>
      <c r="J32" s="12" t="inlineStr">
        <is>
          <t>100%</t>
        </is>
      </c>
      <c r="K32" s="26" t="inlineStr">
        <is>
          <t>Como administrador, quiero descargar la base de datos de reservas e ingresos en formato Excel, para contabilidad física.</t>
        </is>
      </c>
      <c r="L32" s="26" t="inlineStr">
        <is>
          <t>Client Export / API</t>
        </is>
      </c>
      <c r="M32" s="26" t="inlineStr">
        <is>
          <t>DashboardAdmin.tsx</t>
        </is>
      </c>
    </row>
    <row r="33">
      <c r="B33" s="16" t="inlineStr">
        <is>
          <t>HU-24</t>
        </is>
      </c>
      <c r="C33" s="28" t="inlineStr">
        <is>
          <t>Creación y Registro de Nuevas Canchas</t>
        </is>
      </c>
      <c r="D33" s="36" t="inlineStr">
        <is>
          <t>Administrador</t>
        </is>
      </c>
      <c r="E33" s="14" t="inlineStr">
        <is>
          <t>Canchas</t>
        </is>
      </c>
      <c r="F33" s="14" t="inlineStr">
        <is>
          <t>Alta</t>
        </is>
      </c>
      <c r="G33" s="14" t="n">
        <v>5</v>
      </c>
      <c r="H33" s="14" t="inlineStr">
        <is>
          <t>Sprint 2</t>
        </is>
      </c>
      <c r="I33" s="27" t="inlineStr">
        <is>
          <t>Completado</t>
        </is>
      </c>
      <c r="J33" s="16" t="inlineStr">
        <is>
          <t>100%</t>
        </is>
      </c>
      <c r="K33" s="28" t="inlineStr">
        <is>
          <t>Como administrador, quiero agregar nuevas canchas con su tipo, capacidad, precio/hora y servicios, para ampliar la oferta.</t>
        </is>
      </c>
      <c r="L33" s="28" t="inlineStr">
        <is>
          <t>POST /api/canchas/</t>
        </is>
      </c>
      <c r="M33" s="28" t="inlineStr">
        <is>
          <t>DashboardAdmin.tsx</t>
        </is>
      </c>
    </row>
    <row r="34">
      <c r="B34" s="12" t="inlineStr">
        <is>
          <t>HU-25</t>
        </is>
      </c>
      <c r="C34" s="26" t="inlineStr">
        <is>
          <t>Edición y Actualización de Tarifas de Canchas</t>
        </is>
      </c>
      <c r="D34" s="35" t="inlineStr">
        <is>
          <t>Administrador</t>
        </is>
      </c>
      <c r="E34" s="10" t="inlineStr">
        <is>
          <t>Canchas</t>
        </is>
      </c>
      <c r="F34" s="10" t="inlineStr">
        <is>
          <t>Alta</t>
        </is>
      </c>
      <c r="G34" s="10" t="n">
        <v>5</v>
      </c>
      <c r="H34" s="10" t="inlineStr">
        <is>
          <t>Sprint 2</t>
        </is>
      </c>
      <c r="I34" s="27" t="inlineStr">
        <is>
          <t>Completado</t>
        </is>
      </c>
      <c r="J34" s="12" t="inlineStr">
        <is>
          <t>100%</t>
        </is>
      </c>
      <c r="K34" s="26" t="inlineStr">
        <is>
          <t>Como administrador, quiero modificar los precios por hora y características de cada cancha, para ajustar promociones.</t>
        </is>
      </c>
      <c r="L34" s="26" t="inlineStr">
        <is>
          <t>PUT /api/canchas/{id}</t>
        </is>
      </c>
      <c r="M34" s="26" t="inlineStr">
        <is>
          <t>DashboardAdmin.tsx</t>
        </is>
      </c>
    </row>
    <row r="35">
      <c r="B35" s="16" t="inlineStr">
        <is>
          <t>HU-26</t>
        </is>
      </c>
      <c r="C35" s="28" t="inlineStr">
        <is>
          <t>Desactivación / Mantenimiento de Canchas</t>
        </is>
      </c>
      <c r="D35" s="36" t="inlineStr">
        <is>
          <t>Administrador</t>
        </is>
      </c>
      <c r="E35" s="14" t="inlineStr">
        <is>
          <t>Canchas</t>
        </is>
      </c>
      <c r="F35" s="14" t="inlineStr">
        <is>
          <t>Media</t>
        </is>
      </c>
      <c r="G35" s="14" t="n">
        <v>3</v>
      </c>
      <c r="H35" s="14" t="inlineStr">
        <is>
          <t>Sprint 2</t>
        </is>
      </c>
      <c r="I35" s="27" t="inlineStr">
        <is>
          <t>Completado</t>
        </is>
      </c>
      <c r="J35" s="16" t="inlineStr">
        <is>
          <t>100%</t>
        </is>
      </c>
      <c r="K35" s="28" t="inlineStr">
        <is>
          <t>Como administrador, quiero deshabilitar temporalmente una cancha en mantenimiento, para que los clientes no la reserven.</t>
        </is>
      </c>
      <c r="L35" s="28" t="inlineStr">
        <is>
          <t>PUT /api/canchas/{id}</t>
        </is>
      </c>
      <c r="M35" s="28" t="inlineStr">
        <is>
          <t>DashboardAdmin.tsx</t>
        </is>
      </c>
    </row>
    <row r="36">
      <c r="B36" s="12" t="inlineStr">
        <is>
          <t>HU-27</t>
        </is>
      </c>
      <c r="C36" s="26" t="inlineStr">
        <is>
          <t>Eliminación Segura de Canchas</t>
        </is>
      </c>
      <c r="D36" s="35" t="inlineStr">
        <is>
          <t>Administrador</t>
        </is>
      </c>
      <c r="E36" s="10" t="inlineStr">
        <is>
          <t>Canchas</t>
        </is>
      </c>
      <c r="F36" s="10" t="inlineStr">
        <is>
          <t>Baja</t>
        </is>
      </c>
      <c r="G36" s="10" t="n">
        <v>3</v>
      </c>
      <c r="H36" s="10" t="inlineStr">
        <is>
          <t>Sprint 2</t>
        </is>
      </c>
      <c r="I36" s="27" t="inlineStr">
        <is>
          <t>Completado</t>
        </is>
      </c>
      <c r="J36" s="12" t="inlineStr">
        <is>
          <t>100%</t>
        </is>
      </c>
      <c r="K36" s="26" t="inlineStr">
        <is>
          <t>Como administrador, quiero dar de baja canchas obsoletas con confirmación de seguridad.</t>
        </is>
      </c>
      <c r="L36" s="26" t="inlineStr">
        <is>
          <t>DELETE /api/canchas/{id}</t>
        </is>
      </c>
      <c r="M36" s="26" t="inlineStr">
        <is>
          <t>DashboardAdmin.tsx</t>
        </is>
      </c>
    </row>
    <row r="37">
      <c r="B37" s="16" t="inlineStr">
        <is>
          <t>HU-28</t>
        </is>
      </c>
      <c r="C37" s="28" t="inlineStr">
        <is>
          <t>Gestión Completa de Reservas Globales</t>
        </is>
      </c>
      <c r="D37" s="36" t="inlineStr">
        <is>
          <t>Administrador</t>
        </is>
      </c>
      <c r="E37" s="14" t="inlineStr">
        <is>
          <t>Reservas</t>
        </is>
      </c>
      <c r="F37" s="14" t="inlineStr">
        <is>
          <t>Alta</t>
        </is>
      </c>
      <c r="G37" s="14" t="n">
        <v>5</v>
      </c>
      <c r="H37" s="14" t="inlineStr">
        <is>
          <t>Sprint 3</t>
        </is>
      </c>
      <c r="I37" s="27" t="inlineStr">
        <is>
          <t>Completado</t>
        </is>
      </c>
      <c r="J37" s="16" t="inlineStr">
        <is>
          <t>100%</t>
        </is>
      </c>
      <c r="K37" s="28" t="inlineStr">
        <is>
          <t>Como administrador, quiero ver la lista de todas las reservas de todos los clientes con filtros por fecha y cancha.</t>
        </is>
      </c>
      <c r="L37" s="28" t="inlineStr">
        <is>
          <t>GET /api/reservas/</t>
        </is>
      </c>
      <c r="M37" s="28" t="inlineStr">
        <is>
          <t>DashboardAdmin.tsx</t>
        </is>
      </c>
    </row>
    <row r="38">
      <c r="B38" s="12" t="inlineStr">
        <is>
          <t>HU-29</t>
        </is>
      </c>
      <c r="C38" s="26" t="inlineStr">
        <is>
          <t>Cambio de Estado de Reserva (Confirmar / Completar)</t>
        </is>
      </c>
      <c r="D38" s="35" t="inlineStr">
        <is>
          <t>Administrador</t>
        </is>
      </c>
      <c r="E38" s="10" t="inlineStr">
        <is>
          <t>Reservas</t>
        </is>
      </c>
      <c r="F38" s="10" t="inlineStr">
        <is>
          <t>Alta</t>
        </is>
      </c>
      <c r="G38" s="10" t="n">
        <v>5</v>
      </c>
      <c r="H38" s="10" t="inlineStr">
        <is>
          <t>Sprint 3</t>
        </is>
      </c>
      <c r="I38" s="27" t="inlineStr">
        <is>
          <t>Completado</t>
        </is>
      </c>
      <c r="J38" s="12" t="inlineStr">
        <is>
          <t>100%</t>
        </is>
      </c>
      <c r="K38" s="26" t="inlineStr">
        <is>
          <t>Como administrador, quiero marcar reservas como pagadas, completadas o canceladas al llegar los jugadores a la sede.</t>
        </is>
      </c>
      <c r="L38" s="26" t="inlineStr">
        <is>
          <t>PUT /api/reservas/{id}/estado</t>
        </is>
      </c>
      <c r="M38" s="26" t="inlineStr">
        <is>
          <t>DashboardAdmin.tsx</t>
        </is>
      </c>
    </row>
    <row r="39">
      <c r="B39" s="16" t="inlineStr">
        <is>
          <t>HU-30</t>
        </is>
      </c>
      <c r="C39" s="28" t="inlineStr">
        <is>
          <t>Registro y Alta de Empleados de la Sede</t>
        </is>
      </c>
      <c r="D39" s="36" t="inlineStr">
        <is>
          <t>Administrador</t>
        </is>
      </c>
      <c r="E39" s="14" t="inlineStr">
        <is>
          <t>Personal</t>
        </is>
      </c>
      <c r="F39" s="14" t="inlineStr">
        <is>
          <t>Alta</t>
        </is>
      </c>
      <c r="G39" s="14" t="n">
        <v>5</v>
      </c>
      <c r="H39" s="14" t="inlineStr">
        <is>
          <t>Sprint 3</t>
        </is>
      </c>
      <c r="I39" s="27" t="inlineStr">
        <is>
          <t>Completado</t>
        </is>
      </c>
      <c r="J39" s="16" t="inlineStr">
        <is>
          <t>100%</t>
        </is>
      </c>
      <c r="K39" s="28" t="inlineStr">
        <is>
          <t>Como administrador, quiero registrar empleados (Coordinadores, Mantenimiento, Seguridad, Atención), para ordenar el personal.</t>
        </is>
      </c>
      <c r="L39" s="28" t="inlineStr">
        <is>
          <t>POST /api/empleados/</t>
        </is>
      </c>
      <c r="M39" s="28" t="inlineStr">
        <is>
          <t>DashboardAdmin.tsx</t>
        </is>
      </c>
    </row>
    <row r="40">
      <c r="B40" s="12" t="inlineStr">
        <is>
          <t>HU-31</t>
        </is>
      </c>
      <c r="C40" s="26" t="inlineStr">
        <is>
          <t>Listado y Edición del Personal</t>
        </is>
      </c>
      <c r="D40" s="35" t="inlineStr">
        <is>
          <t>Administrador</t>
        </is>
      </c>
      <c r="E40" s="10" t="inlineStr">
        <is>
          <t>Personal</t>
        </is>
      </c>
      <c r="F40" s="10" t="inlineStr">
        <is>
          <t>Media</t>
        </is>
      </c>
      <c r="G40" s="10" t="n">
        <v>3</v>
      </c>
      <c r="H40" s="10" t="inlineStr">
        <is>
          <t>Sprint 3</t>
        </is>
      </c>
      <c r="I40" s="27" t="inlineStr">
        <is>
          <t>Completado</t>
        </is>
      </c>
      <c r="J40" s="12" t="inlineStr">
        <is>
          <t>100%</t>
        </is>
      </c>
      <c r="K40" s="26" t="inlineStr">
        <is>
          <t>Como administrador, quiero consultar el teléfono, correo y cargo de cada empleado y editar sus datos.</t>
        </is>
      </c>
      <c r="L40" s="26" t="inlineStr">
        <is>
          <t>GET/PUT /api/empleados/</t>
        </is>
      </c>
      <c r="M40" s="26" t="inlineStr">
        <is>
          <t>DashboardAdmin.tsx</t>
        </is>
      </c>
    </row>
    <row r="41">
      <c r="B41" s="16" t="inlineStr">
        <is>
          <t>HU-32</t>
        </is>
      </c>
      <c r="C41" s="28" t="inlineStr">
        <is>
          <t>Activación y Desactivación de Empleados</t>
        </is>
      </c>
      <c r="D41" s="36" t="inlineStr">
        <is>
          <t>Administrador</t>
        </is>
      </c>
      <c r="E41" s="14" t="inlineStr">
        <is>
          <t>Personal</t>
        </is>
      </c>
      <c r="F41" s="14" t="inlineStr">
        <is>
          <t>Media</t>
        </is>
      </c>
      <c r="G41" s="14" t="n">
        <v>3</v>
      </c>
      <c r="H41" s="14" t="inlineStr">
        <is>
          <t>Sprint 3</t>
        </is>
      </c>
      <c r="I41" s="27" t="inlineStr">
        <is>
          <t>Completado</t>
        </is>
      </c>
      <c r="J41" s="16" t="inlineStr">
        <is>
          <t>100%</t>
        </is>
      </c>
      <c r="K41" s="28" t="inlineStr">
        <is>
          <t>Como administrador, quiero desactivar empleados inactivos sin perder el registro histórico.</t>
        </is>
      </c>
      <c r="L41" s="28" t="inlineStr">
        <is>
          <t>PUT /api/empleados/{id}</t>
        </is>
      </c>
      <c r="M41" s="28" t="inlineStr">
        <is>
          <t>DashboardAdmin.tsx</t>
        </is>
      </c>
    </row>
    <row r="42">
      <c r="B42" s="12" t="inlineStr">
        <is>
          <t>HU-33</t>
        </is>
      </c>
      <c r="C42" s="26" t="inlineStr">
        <is>
          <t>Creación y Apertura de Nuevos Torneos</t>
        </is>
      </c>
      <c r="D42" s="35" t="inlineStr">
        <is>
          <t>Administrador</t>
        </is>
      </c>
      <c r="E42" s="10" t="inlineStr">
        <is>
          <t>Torneos</t>
        </is>
      </c>
      <c r="F42" s="10" t="inlineStr">
        <is>
          <t>Alta</t>
        </is>
      </c>
      <c r="G42" s="10" t="n">
        <v>5</v>
      </c>
      <c r="H42" s="10" t="inlineStr">
        <is>
          <t>Sprint 3</t>
        </is>
      </c>
      <c r="I42" s="27" t="inlineStr">
        <is>
          <t>Completado</t>
        </is>
      </c>
      <c r="J42" s="12" t="inlineStr">
        <is>
          <t>100%</t>
        </is>
      </c>
      <c r="K42" s="26" t="inlineStr">
        <is>
          <t>Como administrador, quiero crear torneos definiendo cancha sede, fechas, premio garantizado, valor y cupo máximo.</t>
        </is>
      </c>
      <c r="L42" s="26" t="inlineStr">
        <is>
          <t>POST /api/torneos/</t>
        </is>
      </c>
      <c r="M42" s="26" t="inlineStr">
        <is>
          <t>DashboardAdmin.tsx</t>
        </is>
      </c>
    </row>
    <row r="43">
      <c r="B43" s="16" t="inlineStr">
        <is>
          <t>HU-34</t>
        </is>
      </c>
      <c r="C43" s="28" t="inlineStr">
        <is>
          <t>Control de Acceso y Protección de Rutas RBAC</t>
        </is>
      </c>
      <c r="D43" s="36" t="inlineStr">
        <is>
          <t>Administrador</t>
        </is>
      </c>
      <c r="E43" s="14" t="inlineStr">
        <is>
          <t>Seguridad</t>
        </is>
      </c>
      <c r="F43" s="14" t="inlineStr">
        <is>
          <t>Alta</t>
        </is>
      </c>
      <c r="G43" s="14" t="n">
        <v>5</v>
      </c>
      <c r="H43" s="14" t="inlineStr">
        <is>
          <t>Sprint 1</t>
        </is>
      </c>
      <c r="I43" s="27" t="inlineStr">
        <is>
          <t>Completado</t>
        </is>
      </c>
      <c r="J43" s="16" t="inlineStr">
        <is>
          <t>100%</t>
        </is>
      </c>
      <c r="K43" s="28" t="inlineStr">
        <is>
          <t>Como sistema, quiero bloquear el acceso al panel administrativo a usuarios no autenticados o con rol cliente (403 Forbidden).</t>
        </is>
      </c>
      <c r="L43" s="28" t="inlineStr">
        <is>
          <t>Middleware Auth JWT</t>
        </is>
      </c>
      <c r="M43" s="28" t="inlineStr">
        <is>
          <t>DashboardAdmin.tsx</t>
        </is>
      </c>
    </row>
    <row r="44">
      <c r="B44" s="12" t="inlineStr">
        <is>
          <t>HU-35</t>
        </is>
      </c>
      <c r="C44" s="26" t="inlineStr">
        <is>
          <t>Generador Automático de Cuadro de Llaves (Brackets)</t>
        </is>
      </c>
      <c r="D44" s="35" t="inlineStr">
        <is>
          <t>Administrador</t>
        </is>
      </c>
      <c r="E44" s="10" t="inlineStr">
        <is>
          <t>Torneos</t>
        </is>
      </c>
      <c r="F44" s="10" t="inlineStr">
        <is>
          <t>Media</t>
        </is>
      </c>
      <c r="G44" s="10" t="n">
        <v>5</v>
      </c>
      <c r="H44" s="10" t="inlineStr">
        <is>
          <t>Sprint 4</t>
        </is>
      </c>
      <c r="I44" s="29" t="inlineStr">
        <is>
          <t>En Progreso</t>
        </is>
      </c>
      <c r="J44" s="12" t="inlineStr">
        <is>
          <t>0%</t>
        </is>
      </c>
      <c r="K44" s="26" t="inlineStr">
        <is>
          <t>Como administrador, quiero que el sistema sortee y arme el cuadro de octavos y cuartos de final automáticamente.</t>
        </is>
      </c>
      <c r="L44" s="26" t="inlineStr">
        <is>
          <t>Algoritmo Torneos</t>
        </is>
      </c>
      <c r="M44" s="26" t="inlineStr">
        <is>
          <t>BracketsTorneo.tsx</t>
        </is>
      </c>
    </row>
    <row r="45">
      <c r="B45" s="16" t="inlineStr">
        <is>
          <t>HU-36</t>
        </is>
      </c>
      <c r="C45" s="28" t="inlineStr">
        <is>
          <t>Lector y Validador de Códigos QR en Portería</t>
        </is>
      </c>
      <c r="D45" s="36" t="inlineStr">
        <is>
          <t>Administrador</t>
        </is>
      </c>
      <c r="E45" s="14" t="inlineStr">
        <is>
          <t>Seguridad</t>
        </is>
      </c>
      <c r="F45" s="14" t="inlineStr">
        <is>
          <t>Media</t>
        </is>
      </c>
      <c r="G45" s="14" t="n">
        <v>5</v>
      </c>
      <c r="H45" s="14" t="inlineStr">
        <is>
          <t>Sprint 4</t>
        </is>
      </c>
      <c r="I45" s="29" t="inlineStr">
        <is>
          <t>En Progreso</t>
        </is>
      </c>
      <c r="J45" s="16" t="inlineStr">
        <is>
          <t>0%</t>
        </is>
      </c>
      <c r="K45" s="28" t="inlineStr">
        <is>
          <t>Como recepcionista o portero, quiero escanear el QR del tiquete del cliente para validar el ingreso a la cancha.</t>
        </is>
      </c>
      <c r="L45" s="28" t="inlineStr">
        <is>
          <t>Escáner Cámara Web</t>
        </is>
      </c>
      <c r="M45" s="28" t="inlineStr">
        <is>
          <t>ValidadorQR.tsx</t>
        </is>
      </c>
    </row>
    <row r="46">
      <c r="B46" s="12" t="inlineStr">
        <is>
          <t>HU-37</t>
        </is>
      </c>
      <c r="C46" s="26" t="inlineStr">
        <is>
          <t>Despliegue Continuo en Servidores Cloud (CI/CD)</t>
        </is>
      </c>
      <c r="D46" s="35" t="inlineStr">
        <is>
          <t>Administrador</t>
        </is>
      </c>
      <c r="E46" s="10" t="inlineStr">
        <is>
          <t>DevOps</t>
        </is>
      </c>
      <c r="F46" s="10" t="inlineStr">
        <is>
          <t>Alta</t>
        </is>
      </c>
      <c r="G46" s="10" t="n">
        <v>8</v>
      </c>
      <c r="H46" s="10" t="inlineStr">
        <is>
          <t>Sprint 4</t>
        </is>
      </c>
      <c r="I46" s="29" t="inlineStr">
        <is>
          <t>En Progreso</t>
        </is>
      </c>
      <c r="J46" s="12" t="inlineStr">
        <is>
          <t>0%</t>
        </is>
      </c>
      <c r="K46" s="26" t="inlineStr">
        <is>
          <t>Como equipo de desarrollo, quiero configurar pipelines de CI/CD para despliegue automático en la nube con dominio .com.</t>
        </is>
      </c>
      <c r="L46" s="26" t="inlineStr">
        <is>
          <t>GitHub Actions / Docker</t>
        </is>
      </c>
      <c r="M46" s="26" t="inlineStr">
        <is>
          <t>Dockerfile</t>
        </is>
      </c>
    </row>
    <row r="47">
      <c r="B47" s="16" t="inlineStr">
        <is>
          <t>HU-38</t>
        </is>
      </c>
      <c r="C47" s="28" t="inlineStr">
        <is>
          <t>Módulo de Auditoría y Registro de Logs de Cambios</t>
        </is>
      </c>
      <c r="D47" s="36" t="inlineStr">
        <is>
          <t>Administrador</t>
        </is>
      </c>
      <c r="E47" s="14" t="inlineStr">
        <is>
          <t>Seguridad</t>
        </is>
      </c>
      <c r="F47" s="14" t="inlineStr">
        <is>
          <t>Baja</t>
        </is>
      </c>
      <c r="G47" s="14" t="n">
        <v>3</v>
      </c>
      <c r="H47" s="14" t="inlineStr">
        <is>
          <t>Sprint 4</t>
        </is>
      </c>
      <c r="I47" s="29" t="inlineStr">
        <is>
          <t>En Progreso</t>
        </is>
      </c>
      <c r="J47" s="16" t="inlineStr">
        <is>
          <t>0%</t>
        </is>
      </c>
      <c r="K47" s="28" t="inlineStr">
        <is>
          <t>Como administrador general, quiero ver qué empleado modificó una tarifa o canceló una reserva con fecha y hora.</t>
        </is>
      </c>
      <c r="L47" s="28" t="inlineStr">
        <is>
          <t>Tabla Auditoria DB</t>
        </is>
      </c>
      <c r="M47" s="28" t="inlineStr">
        <is>
          <t>LogsAuditoria.tsx</t>
        </is>
      </c>
    </row>
  </sheetData>
  <mergeCells count="1">
    <mergeCell ref="B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2026-09-01T13:58:51Z</dcterms:created>
  <dcterms:modified xsi:type="dcterms:W3CDTF">2026-09-01T13:58:51Z</dcterms:modified>
</cp:coreProperties>
</file>